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imeline" sheetId="1" state="visible" r:id="rId3"/>
    <sheet name="Capital Budget" sheetId="2" state="visible" r:id="rId4"/>
    <sheet name="Cash Flow Model" sheetId="3" state="visible" r:id="rId5"/>
    <sheet name="Compliance Checklist" sheetId="4" state="visible" r:id="rId6"/>
    <sheet name="OKR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<sst xmlns="http://schemas.openxmlformats.org/spreadsheetml/2006/main" count="433" uniqueCount="319">
  <si>
    <t xml:space="preserve">Phase</t>
  </si>
  <si>
    <t xml:space="preserve">Milestone</t>
  </si>
  <si>
    <t xml:space="preserve">Owner</t>
  </si>
  <si>
    <t xml:space="preserve">Target Date</t>
  </si>
  <si>
    <t xml:space="preserve">Status</t>
  </si>
  <si>
    <t xml:space="preserve">Dependencies</t>
  </si>
  <si>
    <t xml:space="preserve">Notes</t>
  </si>
  <si>
    <t xml:space="preserve">Phase 1: Board Approval</t>
  </si>
  <si>
    <t xml:space="preserve">Complete current 340B revenue analysis</t>
  </si>
  <si>
    <t xml:space="preserve">CFO + Pharmacy</t>
  </si>
  <si>
    <t xml:space="preserve">Month 1 Week 1</t>
  </si>
  <si>
    <t xml:space="preserve">Not Started</t>
  </si>
  <si>
    <t xml:space="preserve">Contract pharmacy data access</t>
  </si>
  <si>
    <t xml:space="preserve">Pull from contract pharmacy reports</t>
  </si>
  <si>
    <t xml:space="preserve">Entity-owned feasibility model (3-year ROI)</t>
  </si>
  <si>
    <t xml:space="preserve">CFO</t>
  </si>
  <si>
    <t xml:space="preserve">Month 1 Week 2</t>
  </si>
  <si>
    <t xml:space="preserve">Revenue analysis complete</t>
  </si>
  <si>
    <t xml:space="preserve">Include rebate model cash flow</t>
  </si>
  <si>
    <t xml:space="preserve">Board presentation and approval vote</t>
  </si>
  <si>
    <t xml:space="preserve">CEO + CFO</t>
  </si>
  <si>
    <t xml:space="preserve">Month 1 Week 4</t>
  </si>
  <si>
    <t xml:space="preserve">Feasibility model complete</t>
  </si>
  <si>
    <t xml:space="preserve">Lead with revenue gap analysis</t>
  </si>
  <si>
    <t xml:space="preserve">Hire Pharmacist-in-Charge (PIC)</t>
  </si>
  <si>
    <t xml:space="preserve">HR + Pharmacy</t>
  </si>
  <si>
    <t xml:space="preserve">Month 1-2</t>
  </si>
  <si>
    <t xml:space="preserve">Board approval</t>
  </si>
  <si>
    <t xml:space="preserve">CA BPC requires PIC for license</t>
  </si>
  <si>
    <t xml:space="preserve">Phase 2: Licensing</t>
  </si>
  <si>
    <t xml:space="preserve">Submit CA Board of Pharmacy application (17A-66)</t>
  </si>
  <si>
    <t xml:space="preserve">PIC + Legal</t>
  </si>
  <si>
    <t xml:space="preserve">PIC hired, space identified</t>
  </si>
  <si>
    <t xml:space="preserve">60-120 day processing time</t>
  </si>
  <si>
    <t xml:space="preserve">Submit DEA Form 224 registration</t>
  </si>
  <si>
    <t xml:space="preserve">PIC</t>
  </si>
  <si>
    <t xml:space="preserve">Month 2 Week 1</t>
  </si>
  <si>
    <t xml:space="preserve">Board of Pharmacy app filed</t>
  </si>
  <si>
    <t xml:space="preserve">4-6 week processing</t>
  </si>
  <si>
    <t xml:space="preserve">Submit HRSA Change in Scope (if new address)</t>
  </si>
  <si>
    <t xml:space="preserve">Grants Manager</t>
  </si>
  <si>
    <t xml:space="preserve">60-90 days — submit early!</t>
  </si>
  <si>
    <t xml:space="preserve">Register pharmacy in 340B OPAIS</t>
  </si>
  <si>
    <t xml:space="preserve">PIC + Compliance</t>
  </si>
  <si>
    <t xml:space="preserve">Month 2 Week 2</t>
  </si>
  <si>
    <t xml:space="preserve">HRSA CIS approved (if needed)</t>
  </si>
  <si>
    <t xml:space="preserve">Links pharmacy to covered entity</t>
  </si>
  <si>
    <t xml:space="preserve">Establish wholesale distributor accounts</t>
  </si>
  <si>
    <t xml:space="preserve">PIC + Finance</t>
  </si>
  <si>
    <t xml:space="preserve">Month 2 Week 3</t>
  </si>
  <si>
    <t xml:space="preserve">340B OPAIS active</t>
  </si>
  <si>
    <t xml:space="preserve">McKesson/Cardinal/Amerisource</t>
  </si>
  <si>
    <t xml:space="preserve">Physical pharmacy buildout complete</t>
  </si>
  <si>
    <t xml:space="preserve">Facilities + PIC</t>
  </si>
  <si>
    <t xml:space="preserve">Month 2 Week 4</t>
  </si>
  <si>
    <t xml:space="preserve">Board approval, space leased</t>
  </si>
  <si>
    <t xml:space="preserve">Must pass BOP inspection</t>
  </si>
  <si>
    <t xml:space="preserve">Board of Pharmacy inspection passed</t>
  </si>
  <si>
    <t xml:space="preserve">Month 3</t>
  </si>
  <si>
    <t xml:space="preserve">Buildout complete, app filed</t>
  </si>
  <si>
    <t xml:space="preserve">Schedule when build is 90% done</t>
  </si>
  <si>
    <t xml:space="preserve">Phase 3: Technology</t>
  </si>
  <si>
    <t xml:space="preserve">Select and contract 340B split-billing software</t>
  </si>
  <si>
    <t xml:space="preserve">IT + Pharmacy + Compliance</t>
  </si>
  <si>
    <t xml:space="preserve">Sentry/MacroHelix/Verity</t>
  </si>
  <si>
    <t xml:space="preserve">EHR integration with 340B software</t>
  </si>
  <si>
    <t xml:space="preserve">IT + EHR Vendor</t>
  </si>
  <si>
    <t xml:space="preserve">Month 2-3</t>
  </si>
  <si>
    <t xml:space="preserve">Software selected</t>
  </si>
  <si>
    <t xml:space="preserve">Critical for auto-eligibility</t>
  </si>
  <si>
    <t xml:space="preserve">EHR prescription routing configured (default internal)</t>
  </si>
  <si>
    <t xml:space="preserve">IT + Clinical</t>
  </si>
  <si>
    <t xml:space="preserve">Month 3 Week 1</t>
  </si>
  <si>
    <t xml:space="preserve">EHR integration live</t>
  </si>
  <si>
    <t xml:space="preserve">Default to on-site pharmacy</t>
  </si>
  <si>
    <t xml:space="preserve">340B eligibility screening in EHR check-in workflow</t>
  </si>
  <si>
    <t xml:space="preserve">IT + Clinical Ops</t>
  </si>
  <si>
    <t xml:space="preserve">Month 3 Week 2</t>
  </si>
  <si>
    <t xml:space="preserve">Automatic, not manual</t>
  </si>
  <si>
    <t xml:space="preserve">Phase 4: Launch</t>
  </si>
  <si>
    <t xml:space="preserve">Soft launch — fill prescriptions for established patients</t>
  </si>
  <si>
    <t xml:space="preserve">PIC + Clinical</t>
  </si>
  <si>
    <t xml:space="preserve">All licenses in hand</t>
  </si>
  <si>
    <t xml:space="preserve">Start with top 50 medications</t>
  </si>
  <si>
    <t xml:space="preserve">Train 100% of prescribers on 340B workflows</t>
  </si>
  <si>
    <t xml:space="preserve">Clinical Director + PIC</t>
  </si>
  <si>
    <t xml:space="preserve">EHR configured</t>
  </si>
  <si>
    <t xml:space="preserve">In-person training required</t>
  </si>
  <si>
    <t xml:space="preserve">Train front desk + MAs on pharmacy routing scripts</t>
  </si>
  <si>
    <t xml:space="preserve">Clinical Ops</t>
  </si>
  <si>
    <t xml:space="preserve">"Fill your Rx before you leave"</t>
  </si>
  <si>
    <t xml:space="preserve">First capture rate audit</t>
  </si>
  <si>
    <t xml:space="preserve">Pharmacy Manager</t>
  </si>
  <si>
    <t xml:space="preserve">Month 4 Week 1</t>
  </si>
  <si>
    <t xml:space="preserve">2+ weeks of dispensing data</t>
  </si>
  <si>
    <t xml:space="preserve">Target: 60%+ initial</t>
  </si>
  <si>
    <t xml:space="preserve">Phase 5: Optimization</t>
  </si>
  <si>
    <t xml:space="preserve">Expand pharmacy hours (evenings/weekends)</t>
  </si>
  <si>
    <t xml:space="preserve">PIC + HR</t>
  </si>
  <si>
    <t xml:space="preserve">Month 4</t>
  </si>
  <si>
    <t xml:space="preserve">Steady operations established</t>
  </si>
  <si>
    <t xml:space="preserve">Hire additional tech if needed</t>
  </si>
  <si>
    <t xml:space="preserve">Launch medication delivery service</t>
  </si>
  <si>
    <t xml:space="preserve">PIC + Operations</t>
  </si>
  <si>
    <t xml:space="preserve">Month 5</t>
  </si>
  <si>
    <t xml:space="preserve">Volume justifies delivery cost</t>
  </si>
  <si>
    <t xml:space="preserve">Homebound + rural patients</t>
  </si>
  <si>
    <t xml:space="preserve">Formulary optimization (top 200 Rx analysis)</t>
  </si>
  <si>
    <t xml:space="preserve">Clinical Pharmacist</t>
  </si>
  <si>
    <t xml:space="preserve">Month 4-5</t>
  </si>
  <si>
    <t xml:space="preserve">3+ months dispensing data</t>
  </si>
  <si>
    <t xml:space="preserve">Prioritize high-margin generics</t>
  </si>
  <si>
    <t xml:space="preserve">Capture rate reaches 85%+</t>
  </si>
  <si>
    <t xml:space="preserve">Month 6</t>
  </si>
  <si>
    <t xml:space="preserve">All optimization levers active</t>
  </si>
  <si>
    <t xml:space="preserve">Weekly audit of leaked Rx</t>
  </si>
  <si>
    <t xml:space="preserve">Net 340B savings reaches $40K+/month</t>
  </si>
  <si>
    <t xml:space="preserve">CFO + PIC</t>
  </si>
  <si>
    <t xml:space="preserve">85%+ capture rate</t>
  </si>
  <si>
    <t xml:space="preserve">Track against feasibility model</t>
  </si>
  <si>
    <t xml:space="preserve">Ongoing: Compliance</t>
  </si>
  <si>
    <t xml:space="preserve">Monthly self-audit (25 random Rx)</t>
  </si>
  <si>
    <t xml:space="preserve">Compliance Officer</t>
  </si>
  <si>
    <t xml:space="preserve">Monthly</t>
  </si>
  <si>
    <t xml:space="preserve">Dispensing data available</t>
  </si>
  <si>
    <t xml:space="preserve">Document findings + corrective actions</t>
  </si>
  <si>
    <t xml:space="preserve">Quarterly compliance reconciliation</t>
  </si>
  <si>
    <t xml:space="preserve">Compliance + Finance</t>
  </si>
  <si>
    <t xml:space="preserve">Quarterly</t>
  </si>
  <si>
    <t xml:space="preserve">3+ months data</t>
  </si>
  <si>
    <t xml:space="preserve">340B database vs. EHR encounters</t>
  </si>
  <si>
    <t xml:space="preserve">Annual external 340B audit</t>
  </si>
  <si>
    <t xml:space="preserve">External Consultant</t>
  </si>
  <si>
    <t xml:space="preserve">Annually</t>
  </si>
  <si>
    <t xml:space="preserve">Budget $10-20K</t>
  </si>
  <si>
    <t xml:space="preserve">Before HRSA audit cycle</t>
  </si>
  <si>
    <t xml:space="preserve">Rebate model cash flow monitoring</t>
  </si>
  <si>
    <t xml:space="preserve">Rebate pilot drugs on formulary</t>
  </si>
  <si>
    <t xml:space="preserve">Track 45-day reimbursement lag</t>
  </si>
  <si>
    <t xml:space="preserve">Category</t>
  </si>
  <si>
    <t xml:space="preserve">Item</t>
  </si>
  <si>
    <t xml:space="preserve">Low Estimate</t>
  </si>
  <si>
    <t xml:space="preserve">High Estimate</t>
  </si>
  <si>
    <t xml:space="preserve">Your Budget</t>
  </si>
  <si>
    <t xml:space="preserve">Licensing &amp; Registration</t>
  </si>
  <si>
    <t xml:space="preserve">CA Board of Pharmacy license</t>
  </si>
  <si>
    <t xml:space="preserve">Application + inspection</t>
  </si>
  <si>
    <t xml:space="preserve">DEA registration</t>
  </si>
  <si>
    <t xml:space="preserve">Biennial fee</t>
  </si>
  <si>
    <t xml:space="preserve">Legal counsel (pharmacy setup)</t>
  </si>
  <si>
    <t xml:space="preserve">Operating agreements, DEA, contracts</t>
  </si>
  <si>
    <t xml:space="preserve">Pharmacy consultant</t>
  </si>
  <si>
    <t xml:space="preserve">Compliance framework design</t>
  </si>
  <si>
    <t xml:space="preserve">SUBTOTAL: Licensing</t>
  </si>
  <si>
    <t xml:space="preserve">Physical Buildout</t>
  </si>
  <si>
    <t xml:space="preserve">Dispensing area construction/renovation</t>
  </si>
  <si>
    <t xml:space="preserve">Depends on existing space</t>
  </si>
  <si>
    <t xml:space="preserve">Medication storage (refrigeration, safes, shelving)</t>
  </si>
  <si>
    <t xml:space="preserve">Controlled substance safes required</t>
  </si>
  <si>
    <t xml:space="preserve">POS and inventory hardware</t>
  </si>
  <si>
    <t xml:space="preserve">Barcode scanners, terminals</t>
  </si>
  <si>
    <t xml:space="preserve">Security systems</t>
  </si>
  <si>
    <t xml:space="preserve">Board of Pharmacy requirement</t>
  </si>
  <si>
    <t xml:space="preserve">ADA compliance modifications</t>
  </si>
  <si>
    <t xml:space="preserve">Patient consultation area</t>
  </si>
  <si>
    <t xml:space="preserve">SUBTOTAL: Buildout</t>
  </si>
  <si>
    <t xml:space="preserve">Technology</t>
  </si>
  <si>
    <t xml:space="preserve">340B split-billing software (Year 1)</t>
  </si>
  <si>
    <t xml:space="preserve">Pharmacy management system</t>
  </si>
  <si>
    <t xml:space="preserve">Must integrate with EHR</t>
  </si>
  <si>
    <t xml:space="preserve">EHR integration setup</t>
  </si>
  <si>
    <t xml:space="preserve">One-time configuration</t>
  </si>
  <si>
    <t xml:space="preserve">ePrescribing connectivity</t>
  </si>
  <si>
    <t xml:space="preserve">Surescripts enrollment</t>
  </si>
  <si>
    <t xml:space="preserve">Automated dispensing equipment</t>
  </si>
  <si>
    <t xml:space="preserve">Optional — improves throughput</t>
  </si>
  <si>
    <t xml:space="preserve">SUBTOTAL: Technology</t>
  </si>
  <si>
    <t xml:space="preserve">Annual Staffing</t>
  </si>
  <si>
    <t xml:space="preserve">Pharmacist-in-Charge</t>
  </si>
  <si>
    <t xml:space="preserve">Required by CA law</t>
  </si>
  <si>
    <t xml:space="preserve">Pharmacy Technician (1-2)</t>
  </si>
  <si>
    <t xml:space="preserve">$45-65K each</t>
  </si>
  <si>
    <t xml:space="preserve">Clinical Pharmacist (MTM)</t>
  </si>
  <si>
    <t xml:space="preserve">Medication therapy management</t>
  </si>
  <si>
    <t xml:space="preserve">Administrative support</t>
  </si>
  <si>
    <t xml:space="preserve">Prior auth, insurance verification</t>
  </si>
  <si>
    <t xml:space="preserve">SUBTOTAL: Staffing</t>
  </si>
  <si>
    <t xml:space="preserve">TOTAL YEAR 1 INVESTMENT</t>
  </si>
  <si>
    <t xml:space="preserve">All categories combined</t>
  </si>
  <si>
    <t xml:space="preserve">340B Pharmacy Cash Flow Model — 12-Month Projection</t>
  </si>
  <si>
    <t xml:space="preserve">ASSUMPTIONS (edit blue cells)</t>
  </si>
  <si>
    <t xml:space="preserve">Monthly eligible prescriptions (steady state)</t>
  </si>
  <si>
    <t xml:space="preserve">Total Rx volume when fully operational</t>
  </si>
  <si>
    <t xml:space="preserve">Capture rate Month 3</t>
  </si>
  <si>
    <t xml:space="preserve">Initial capture rate at soft launch</t>
  </si>
  <si>
    <t xml:space="preserve">Capture rate Month 6</t>
  </si>
  <si>
    <t xml:space="preserve">Mid-optimization capture rate</t>
  </si>
  <si>
    <t xml:space="preserve">Capture rate Month 9+</t>
  </si>
  <si>
    <t xml:space="preserve">Target steady-state capture rate</t>
  </si>
  <si>
    <t xml:space="preserve">Average 340B spread per Rx (margin)</t>
  </si>
  <si>
    <t xml:space="preserve">Reimbursement minus 340B ceiling price</t>
  </si>
  <si>
    <t xml:space="preserve">Monthly pharmacy operating cost</t>
  </si>
  <si>
    <t xml:space="preserve">Staff + supplies + overhead</t>
  </si>
  <si>
    <t xml:space="preserve">Rebate pilot % of volume</t>
  </si>
  <si>
    <t xml:space="preserve">% of Rx affected by rebate pilot</t>
  </si>
  <si>
    <t xml:space="preserve">Rebate reimbursement delay (days)</t>
  </si>
  <si>
    <t xml:space="preserve">Cash flow lag for rebate pilot drugs</t>
  </si>
  <si>
    <t xml:space="preserve">Metric</t>
  </si>
  <si>
    <t xml:space="preserve">Month 1</t>
  </si>
  <si>
    <t xml:space="preserve">Month 2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</si>
  <si>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</si>
  <si>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</si>
  <si>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</si>
  <si>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</si>
  <si>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</si>
  <si>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</si>
  <si>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Year 1 Total</t>
  </si>
  <si>
    <t xml:space="preserve">Capture Rate</t>
  </si>
  <si>
    <t xml:space="preserve">Rx Captured (340B)</t>
  </si>
  <si>
    <t xml:space="preserve">Gross 340B Savings</t>
  </si>
  <si>
    <t xml:space="preserve">Operating Costs</t>
  </si>
  <si>
    <t xml:space="preserve">NET 340B Savings</t>
  </si>
  <si>
    <t xml:space="preserve">Rebate Pilot Impact</t>
  </si>
  <si>
    <t xml:space="preserve">Working Capital Tied Up</t>
  </si>
  <si>
    <t xml:space="preserve">Cumulative Net Savings</t>
  </si>
  <si>
    <t xml:space="preserve">Audit Area</t>
  </si>
  <si>
    <t xml:space="preserve">Requirement</t>
  </si>
  <si>
    <t xml:space="preserve">Frequency</t>
  </si>
  <si>
    <t xml:space="preserve">Last Completed</t>
  </si>
  <si>
    <t xml:space="preserve">Findings/Notes</t>
  </si>
  <si>
    <t xml:space="preserve">Patient Eligibility</t>
  </si>
  <si>
    <t xml:space="preserve">Random sample audit: 25 Rx have qualifying encounters</t>
  </si>
  <si>
    <t xml:space="preserve">Document every audit</t>
  </si>
  <si>
    <t xml:space="preserve">Encounter recency check: all 340B patients seen within 12 months</t>
  </si>
  <si>
    <t xml:space="preserve">Flag patients approaching threshold</t>
  </si>
  <si>
    <t xml:space="preserve">Provider-patient relationship documented (not just lab/referral)</t>
  </si>
  <si>
    <t xml:space="preserve">Must be face-to-face encounter</t>
  </si>
  <si>
    <t xml:space="preserve">Duplicate Discount</t>
  </si>
  <si>
    <t xml:space="preserve">Split-billing software correctly identifies Medi-Cal patients</t>
  </si>
  <si>
    <t xml:space="preserve">IT + Pharmacy</t>
  </si>
  <si>
    <t xml:space="preserve">Reconcile with Medi-Cal claims</t>
  </si>
  <si>
    <t xml:space="preserve">No 340B pricing on Medicaid-rebate-eligible drugs</t>
  </si>
  <si>
    <t xml:space="preserve">Zero tolerance for dual discount</t>
  </si>
  <si>
    <t xml:space="preserve">Quarterly reconciliation: 340B dispensing vs. Medi-Cal claims</t>
  </si>
  <si>
    <t xml:space="preserve">Finance + Compliance</t>
  </si>
  <si>
    <t xml:space="preserve">Required before external audit</t>
  </si>
  <si>
    <t xml:space="preserve">Diversion Prevention</t>
  </si>
  <si>
    <t xml:space="preserve">340B drugs dispensed only to covered entity patients</t>
  </si>
  <si>
    <t xml:space="preserve">Software should auto-block</t>
  </si>
  <si>
    <t xml:space="preserve">No walk-in 340B dispensing to non-patients</t>
  </si>
  <si>
    <t xml:space="preserve">Ongoing</t>
  </si>
  <si>
    <t xml:space="preserve">Pharmacy Staff</t>
  </si>
  <si>
    <t xml:space="preserve">Training required</t>
  </si>
  <si>
    <t xml:space="preserve">Child/subsidiary sites properly registered in OPAIS</t>
  </si>
  <si>
    <t xml:space="preserve">Check after any scope changes</t>
  </si>
  <si>
    <t xml:space="preserve">Audit Trail</t>
  </si>
  <si>
    <t xml:space="preserve">Complete chain: encounter → Rx → eligibility → dispense → reimburse</t>
  </si>
  <si>
    <t xml:space="preserve">HRSA reviews this chain</t>
  </si>
  <si>
    <t xml:space="preserve">340B database backed up and accessible</t>
  </si>
  <si>
    <t xml:space="preserve">Weekly</t>
  </si>
  <si>
    <t xml:space="preserve">IT</t>
  </si>
  <si>
    <t xml:space="preserve">Must survive hardware failure</t>
  </si>
  <si>
    <t xml:space="preserve">Audit binder updated with monthly findings + corrective actions</t>
  </si>
  <si>
    <t xml:space="preserve">Hand to HRSA when they arrive</t>
  </si>
  <si>
    <t xml:space="preserve">Program Registration</t>
  </si>
  <si>
    <t xml:space="preserve">340B OPAIS registration current and accurate</t>
  </si>
  <si>
    <t xml:space="preserve">Verify after any org changes</t>
  </si>
  <si>
    <t xml:space="preserve">HRSA grant active and in good standing</t>
  </si>
  <si>
    <t xml:space="preserve">Grant lapse = 340B exclusion</t>
  </si>
  <si>
    <t xml:space="preserve">All pharmacy locations on HRSA scope of project</t>
  </si>
  <si>
    <t xml:space="preserve">Submit CIS for new locations</t>
  </si>
  <si>
    <t xml:space="preserve">External Audit</t>
  </si>
  <si>
    <t xml:space="preserve">Annual external 340B compliance audit</t>
  </si>
  <si>
    <t xml:space="preserve">CFO + Compliance</t>
  </si>
  <si>
    <t xml:space="preserve">Budget $10-20K; do before HRSA</t>
  </si>
  <si>
    <t xml:space="preserve">Rebate Model</t>
  </si>
  <si>
    <t xml:space="preserve">45-day rebate claims submitted on time</t>
  </si>
  <si>
    <t xml:space="preserve">For pilot drugs only</t>
  </si>
  <si>
    <t xml:space="preserve">Working capital reserve adequate for rebate cash flow gap</t>
  </si>
  <si>
    <t xml:space="preserve">2 months of pilot drug wholesale</t>
  </si>
  <si>
    <t xml:space="preserve">340B Pharmacy Launch — OKR Tracker</t>
  </si>
  <si>
    <t xml:space="preserve">Objective: Launch entity-owned 340B pharmacy generating $40K+/month in net savings within 6 months</t>
  </si>
  <si>
    <t xml:space="preserve">Key Result</t>
  </si>
  <si>
    <t xml:space="preserve">Baseline</t>
  </si>
  <si>
    <t xml:space="preserve">Target</t>
  </si>
  <si>
    <t xml:space="preserve">Current</t>
  </si>
  <si>
    <t xml:space="preserve">% Progress</t>
  </si>
  <si>
    <t xml:space="preserve">Board of Pharmacy license + HRSA OPA registration complete</t>
  </si>
  <si>
    <t xml:space="preserve">License status</t>
  </si>
  <si>
    <t xml:space="preserve">Not started</t>
  </si>
  <si>
    <t xml:space="preserve">Both complete by Month 2</t>
  </si>
  <si>
    <t xml:space="preserve">Achieve 85% 340B capture rate on eligible Rx</t>
  </si>
  <si>
    <t xml:space="preserve">Pharmacy Mgr + Clinical Ops</t>
  </si>
  <si>
    <t xml:space="preserve">Capture rate %</t>
  </si>
  <si>
    <t xml:space="preserve">85%</t>
  </si>
  <si>
    <t xml:space="preserve">Train 100% of prescribers on 340B EHR workflows</t>
  </si>
  <si>
    <t xml:space="preserve">Clinical Dir + IT</t>
  </si>
  <si>
    <t xml:space="preserve">Training completion %</t>
  </si>
  <si>
    <t xml:space="preserve">0%</t>
  </si>
  <si>
    <t xml:space="preserve">100% by Month 2</t>
  </si>
  <si>
    <t xml:space="preserve">Generate ≥$40K/month net 340B savings</t>
  </si>
  <si>
    <t xml:space="preserve">Monthly net savings</t>
  </si>
  <si>
    <t xml:space="preserve">$0</t>
  </si>
  <si>
    <t xml:space="preserve">$40,000+ by Month 6</t>
  </si>
  <si>
    <t xml:space="preserve">100% audit trail for every dispensed Rx</t>
  </si>
  <si>
    <t xml:space="preserve">Pharmacy Mgr + Compliance</t>
  </si>
  <si>
    <t xml:space="preserve">Monthly audit pass rate</t>
  </si>
  <si>
    <t xml:space="preserve">N/A</t>
  </si>
  <si>
    <t xml:space="preserve">100%</t>
  </si>
  <si>
    <t xml:space="preserve">Rebate model cash flow reserve established</t>
  </si>
  <si>
    <t xml:space="preserve">Reserve balance</t>
  </si>
  <si>
    <t xml:space="preserve">2 months wholesale cost</t>
  </si>
  <si>
    <t xml:space="preserve">External 340B audit completed (Year 1)</t>
  </si>
  <si>
    <t xml:space="preserve">Audit status</t>
  </si>
  <si>
    <t xml:space="preserve">Not scheduled</t>
  </si>
  <si>
    <t xml:space="preserve">Complete by Month 12</t>
  </si>
  <si>
    <t xml:space="preserve">Formulary covers 90%+ of top 200 Rx</t>
  </si>
  <si>
    <t xml:space="preserve">Formulary coverage %</t>
  </si>
  <si>
    <t xml:space="preserve">90%+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</si>
</sst>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0D5C5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F766E"/>
      <name val="Arial"/>
      <family val="0"/>
      <charset val="1"/>
    </font>
    <font>
      <b val="true"/>
      <sz val="11"/>
      <color rgb="FF0D5C5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F766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766E"/>
        <bgColor rgb="FF0D5C58"/>
      </patternFill>
    </fill>
    <fill>
      <patternFill patternType="solid">
        <fgColor rgb="FFE6F7F5"/>
        <bgColor rgb="FFFFFFF0"/>
      </patternFill>
    </fill>
    <fill>
      <patternFill patternType="solid">
        <fgColor rgb="FFFFFFF0"/>
        <bgColor rgb="FFFFFFFF"/>
      </patternFill>
    </fill>
    <fill>
      <patternFill patternType="solid">
        <fgColor rgb="FFFEF3C7"/>
        <bgColor rgb="FFFFFF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CCCCC"/>
      <rgbColor rgb="FF808080"/>
      <rgbColor rgb="FF9999FF"/>
      <rgbColor rgb="FF993366"/>
      <rgbColor rgb="FFFEF3C7"/>
      <rgbColor rgb="FFE6F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D5C58"/>
      <rgbColor rgb="FF0000FF"/>
      <rgbColor rgb="FF00CCFF"/>
      <rgbColor rgb="FFFFFF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4"/>
      <c r="B3" s="4" t="s">
        <v>14</v>
      </c>
      <c r="C3" s="4" t="s">
        <v>15</v>
      </c>
      <c r="D3" s="4" t="s">
        <v>16</v>
      </c>
      <c r="E3" s="5" t="s">
        <v>11</v>
      </c>
      <c r="F3" s="4" t="s">
        <v>17</v>
      </c>
      <c r="G3" s="4" t="s">
        <v>18</v>
      </c>
    </row>
    <row r="4" customFormat="false" ht="15" hidden="false" customHeight="false" outlineLevel="0" collapsed="false">
      <c r="A4" s="4"/>
      <c r="B4" s="4" t="s">
        <v>19</v>
      </c>
      <c r="C4" s="4" t="s">
        <v>20</v>
      </c>
      <c r="D4" s="4" t="s">
        <v>21</v>
      </c>
      <c r="E4" s="5" t="s">
        <v>11</v>
      </c>
      <c r="F4" s="4" t="s">
        <v>22</v>
      </c>
      <c r="G4" s="4" t="s">
        <v>23</v>
      </c>
    </row>
    <row r="5" customFormat="false" ht="15" hidden="false" customHeight="false" outlineLevel="0" collapsed="false">
      <c r="A5" s="4"/>
      <c r="B5" s="4" t="s">
        <v>24</v>
      </c>
      <c r="C5" s="4" t="s">
        <v>25</v>
      </c>
      <c r="D5" s="4" t="s">
        <v>26</v>
      </c>
      <c r="E5" s="5" t="s">
        <v>11</v>
      </c>
      <c r="F5" s="4" t="s">
        <v>27</v>
      </c>
      <c r="G5" s="4" t="s">
        <v>28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21</v>
      </c>
      <c r="E6" s="3" t="s">
        <v>11</v>
      </c>
      <c r="F6" s="2" t="s">
        <v>32</v>
      </c>
      <c r="G6" s="2" t="s">
        <v>33</v>
      </c>
    </row>
    <row r="7" customFormat="false" ht="15" hidden="false" customHeight="false" outlineLevel="0" collapsed="false">
      <c r="A7" s="4"/>
      <c r="B7" s="4" t="s">
        <v>34</v>
      </c>
      <c r="C7" s="4" t="s">
        <v>35</v>
      </c>
      <c r="D7" s="4" t="s">
        <v>36</v>
      </c>
      <c r="E7" s="5" t="s">
        <v>11</v>
      </c>
      <c r="F7" s="4" t="s">
        <v>37</v>
      </c>
      <c r="G7" s="4" t="s">
        <v>38</v>
      </c>
    </row>
    <row r="8" customFormat="false" ht="15" hidden="false" customHeight="false" outlineLevel="0" collapsed="false">
      <c r="A8" s="4"/>
      <c r="B8" s="4" t="s">
        <v>39</v>
      </c>
      <c r="C8" s="4" t="s">
        <v>40</v>
      </c>
      <c r="D8" s="4" t="s">
        <v>21</v>
      </c>
      <c r="E8" s="5" t="s">
        <v>11</v>
      </c>
      <c r="F8" s="4" t="s">
        <v>27</v>
      </c>
      <c r="G8" s="4" t="s">
        <v>41</v>
      </c>
    </row>
    <row r="9" customFormat="false" ht="15" hidden="false" customHeight="false" outlineLevel="0" collapsed="false">
      <c r="A9" s="4"/>
      <c r="B9" s="4" t="s">
        <v>42</v>
      </c>
      <c r="C9" s="4" t="s">
        <v>43</v>
      </c>
      <c r="D9" s="4" t="s">
        <v>44</v>
      </c>
      <c r="E9" s="5" t="s">
        <v>11</v>
      </c>
      <c r="F9" s="4" t="s">
        <v>45</v>
      </c>
      <c r="G9" s="4" t="s">
        <v>46</v>
      </c>
    </row>
    <row r="10" customFormat="false" ht="15" hidden="false" customHeight="false" outlineLevel="0" collapsed="false">
      <c r="A10" s="4"/>
      <c r="B10" s="4" t="s">
        <v>47</v>
      </c>
      <c r="C10" s="4" t="s">
        <v>48</v>
      </c>
      <c r="D10" s="4" t="s">
        <v>49</v>
      </c>
      <c r="E10" s="5" t="s">
        <v>11</v>
      </c>
      <c r="F10" s="4" t="s">
        <v>50</v>
      </c>
      <c r="G10" s="4" t="s">
        <v>51</v>
      </c>
    </row>
    <row r="11" customFormat="false" ht="15" hidden="false" customHeight="false" outlineLevel="0" collapsed="false">
      <c r="A11" s="4"/>
      <c r="B11" s="4" t="s">
        <v>52</v>
      </c>
      <c r="C11" s="4" t="s">
        <v>53</v>
      </c>
      <c r="D11" s="4" t="s">
        <v>54</v>
      </c>
      <c r="E11" s="5" t="s">
        <v>11</v>
      </c>
      <c r="F11" s="4" t="s">
        <v>55</v>
      </c>
      <c r="G11" s="4" t="s">
        <v>56</v>
      </c>
    </row>
    <row r="12" customFormat="false" ht="15" hidden="false" customHeight="false" outlineLevel="0" collapsed="false">
      <c r="A12" s="4"/>
      <c r="B12" s="4" t="s">
        <v>57</v>
      </c>
      <c r="C12" s="4" t="s">
        <v>35</v>
      </c>
      <c r="D12" s="4" t="s">
        <v>58</v>
      </c>
      <c r="E12" s="5" t="s">
        <v>11</v>
      </c>
      <c r="F12" s="4" t="s">
        <v>59</v>
      </c>
      <c r="G12" s="4" t="s">
        <v>60</v>
      </c>
    </row>
    <row r="13" customFormat="false" ht="23.8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36</v>
      </c>
      <c r="E13" s="3" t="s">
        <v>11</v>
      </c>
      <c r="F13" s="2" t="s">
        <v>27</v>
      </c>
      <c r="G13" s="2" t="s">
        <v>64</v>
      </c>
    </row>
    <row r="14" customFormat="false" ht="15" hidden="false" customHeight="false" outlineLevel="0" collapsed="false">
      <c r="A14" s="4"/>
      <c r="B14" s="4" t="s">
        <v>65</v>
      </c>
      <c r="C14" s="4" t="s">
        <v>66</v>
      </c>
      <c r="D14" s="4" t="s">
        <v>67</v>
      </c>
      <c r="E14" s="5" t="s">
        <v>11</v>
      </c>
      <c r="F14" s="4" t="s">
        <v>68</v>
      </c>
      <c r="G14" s="4" t="s">
        <v>69</v>
      </c>
    </row>
    <row r="15" customFormat="false" ht="23.85" hidden="false" customHeight="false" outlineLevel="0" collapsed="false">
      <c r="A15" s="4"/>
      <c r="B15" s="4" t="s">
        <v>70</v>
      </c>
      <c r="C15" s="4" t="s">
        <v>71</v>
      </c>
      <c r="D15" s="4" t="s">
        <v>72</v>
      </c>
      <c r="E15" s="5" t="s">
        <v>11</v>
      </c>
      <c r="F15" s="4" t="s">
        <v>73</v>
      </c>
      <c r="G15" s="4" t="s">
        <v>74</v>
      </c>
    </row>
    <row r="16" customFormat="false" ht="15" hidden="false" customHeight="false" outlineLevel="0" collapsed="false">
      <c r="A16" s="4"/>
      <c r="B16" s="4" t="s">
        <v>75</v>
      </c>
      <c r="C16" s="4" t="s">
        <v>76</v>
      </c>
      <c r="D16" s="4" t="s">
        <v>77</v>
      </c>
      <c r="E16" s="5" t="s">
        <v>11</v>
      </c>
      <c r="F16" s="4" t="s">
        <v>73</v>
      </c>
      <c r="G16" s="4" t="s">
        <v>78</v>
      </c>
    </row>
    <row r="17" customFormat="false" ht="23.8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58</v>
      </c>
      <c r="E17" s="3" t="s">
        <v>11</v>
      </c>
      <c r="F17" s="2" t="s">
        <v>82</v>
      </c>
      <c r="G17" s="2" t="s">
        <v>83</v>
      </c>
    </row>
    <row r="18" customFormat="false" ht="15" hidden="false" customHeight="false" outlineLevel="0" collapsed="false">
      <c r="A18" s="4"/>
      <c r="B18" s="4" t="s">
        <v>84</v>
      </c>
      <c r="C18" s="4" t="s">
        <v>85</v>
      </c>
      <c r="D18" s="4" t="s">
        <v>77</v>
      </c>
      <c r="E18" s="5" t="s">
        <v>11</v>
      </c>
      <c r="F18" s="4" t="s">
        <v>86</v>
      </c>
      <c r="G18" s="4" t="s">
        <v>87</v>
      </c>
    </row>
    <row r="19" customFormat="false" ht="15" hidden="false" customHeight="false" outlineLevel="0" collapsed="false">
      <c r="A19" s="4"/>
      <c r="B19" s="4" t="s">
        <v>88</v>
      </c>
      <c r="C19" s="4" t="s">
        <v>89</v>
      </c>
      <c r="D19" s="4" t="s">
        <v>77</v>
      </c>
      <c r="E19" s="5" t="s">
        <v>11</v>
      </c>
      <c r="F19" s="4" t="s">
        <v>86</v>
      </c>
      <c r="G19" s="4" t="s">
        <v>90</v>
      </c>
    </row>
    <row r="20" customFormat="false" ht="15" hidden="false" customHeight="false" outlineLevel="0" collapsed="false">
      <c r="A20" s="4"/>
      <c r="B20" s="4" t="s">
        <v>91</v>
      </c>
      <c r="C20" s="4" t="s">
        <v>92</v>
      </c>
      <c r="D20" s="4" t="s">
        <v>93</v>
      </c>
      <c r="E20" s="5" t="s">
        <v>11</v>
      </c>
      <c r="F20" s="4" t="s">
        <v>94</v>
      </c>
      <c r="G20" s="4" t="s">
        <v>95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3" t="s">
        <v>11</v>
      </c>
      <c r="F21" s="2" t="s">
        <v>100</v>
      </c>
      <c r="G21" s="2" t="s">
        <v>101</v>
      </c>
    </row>
    <row r="22" customFormat="false" ht="15" hidden="false" customHeight="false" outlineLevel="0" collapsed="false">
      <c r="A22" s="4"/>
      <c r="B22" s="4" t="s">
        <v>102</v>
      </c>
      <c r="C22" s="4" t="s">
        <v>103</v>
      </c>
      <c r="D22" s="4" t="s">
        <v>104</v>
      </c>
      <c r="E22" s="5" t="s">
        <v>11</v>
      </c>
      <c r="F22" s="4" t="s">
        <v>105</v>
      </c>
      <c r="G22" s="4" t="s">
        <v>106</v>
      </c>
    </row>
    <row r="23" customFormat="false" ht="15" hidden="false" customHeight="false" outlineLevel="0" collapsed="false">
      <c r="A23" s="4"/>
      <c r="B23" s="4" t="s">
        <v>107</v>
      </c>
      <c r="C23" s="4" t="s">
        <v>108</v>
      </c>
      <c r="D23" s="4" t="s">
        <v>109</v>
      </c>
      <c r="E23" s="5" t="s">
        <v>11</v>
      </c>
      <c r="F23" s="4" t="s">
        <v>110</v>
      </c>
      <c r="G23" s="4" t="s">
        <v>111</v>
      </c>
    </row>
    <row r="24" customFormat="false" ht="15" hidden="false" customHeight="false" outlineLevel="0" collapsed="false">
      <c r="A24" s="4"/>
      <c r="B24" s="4" t="s">
        <v>112</v>
      </c>
      <c r="C24" s="4" t="s">
        <v>92</v>
      </c>
      <c r="D24" s="4" t="s">
        <v>113</v>
      </c>
      <c r="E24" s="5" t="s">
        <v>11</v>
      </c>
      <c r="F24" s="4" t="s">
        <v>114</v>
      </c>
      <c r="G24" s="4" t="s">
        <v>115</v>
      </c>
    </row>
    <row r="25" customFormat="false" ht="15" hidden="false" customHeight="false" outlineLevel="0" collapsed="false">
      <c r="A25" s="4"/>
      <c r="B25" s="4" t="s">
        <v>116</v>
      </c>
      <c r="C25" s="4" t="s">
        <v>117</v>
      </c>
      <c r="D25" s="4" t="s">
        <v>113</v>
      </c>
      <c r="E25" s="5" t="s">
        <v>11</v>
      </c>
      <c r="F25" s="4" t="s">
        <v>118</v>
      </c>
      <c r="G25" s="4" t="s">
        <v>119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3" t="s">
        <v>11</v>
      </c>
      <c r="F26" s="2" t="s">
        <v>124</v>
      </c>
      <c r="G26" s="2" t="s">
        <v>125</v>
      </c>
    </row>
    <row r="27" customFormat="false" ht="15" hidden="false" customHeight="false" outlineLevel="0" collapsed="false">
      <c r="A27" s="4"/>
      <c r="B27" s="4" t="s">
        <v>126</v>
      </c>
      <c r="C27" s="4" t="s">
        <v>127</v>
      </c>
      <c r="D27" s="4" t="s">
        <v>128</v>
      </c>
      <c r="E27" s="5" t="s">
        <v>11</v>
      </c>
      <c r="F27" s="4" t="s">
        <v>129</v>
      </c>
      <c r="G27" s="4" t="s">
        <v>130</v>
      </c>
    </row>
    <row r="28" customFormat="false" ht="15" hidden="false" customHeight="false" outlineLevel="0" collapsed="false">
      <c r="A28" s="4"/>
      <c r="B28" s="4" t="s">
        <v>131</v>
      </c>
      <c r="C28" s="4" t="s">
        <v>132</v>
      </c>
      <c r="D28" s="4" t="s">
        <v>133</v>
      </c>
      <c r="E28" s="5" t="s">
        <v>11</v>
      </c>
      <c r="F28" s="4" t="s">
        <v>134</v>
      </c>
      <c r="G28" s="4" t="s">
        <v>135</v>
      </c>
    </row>
    <row r="29" customFormat="false" ht="15" hidden="false" customHeight="false" outlineLevel="0" collapsed="false">
      <c r="A29" s="4"/>
      <c r="B29" s="4" t="s">
        <v>136</v>
      </c>
      <c r="C29" s="4" t="s">
        <v>15</v>
      </c>
      <c r="D29" s="4" t="s">
        <v>123</v>
      </c>
      <c r="E29" s="5" t="s">
        <v>11</v>
      </c>
      <c r="F29" s="4" t="s">
        <v>137</v>
      </c>
      <c r="G29" s="4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6</v>
      </c>
    </row>
    <row r="2" customFormat="false" ht="15" hidden="false" customHeight="false" outlineLevel="0" collapsed="false">
      <c r="A2" s="2" t="s">
        <v>144</v>
      </c>
      <c r="B2" s="2"/>
      <c r="C2" s="2"/>
      <c r="D2" s="2"/>
      <c r="E2" s="6"/>
      <c r="F2" s="2"/>
    </row>
    <row r="3" customFormat="false" ht="15" hidden="false" customHeight="false" outlineLevel="0" collapsed="false">
      <c r="A3" s="4"/>
      <c r="B3" s="4" t="s">
        <v>145</v>
      </c>
      <c r="C3" s="7" t="n">
        <v>600</v>
      </c>
      <c r="D3" s="7" t="n">
        <v>600</v>
      </c>
      <c r="E3" s="6"/>
      <c r="F3" s="4" t="s">
        <v>146</v>
      </c>
    </row>
    <row r="4" customFormat="false" ht="15" hidden="false" customHeight="false" outlineLevel="0" collapsed="false">
      <c r="A4" s="4"/>
      <c r="B4" s="4" t="s">
        <v>147</v>
      </c>
      <c r="C4" s="7" t="n">
        <v>888</v>
      </c>
      <c r="D4" s="7" t="n">
        <v>888</v>
      </c>
      <c r="E4" s="6"/>
      <c r="F4" s="4" t="s">
        <v>148</v>
      </c>
    </row>
    <row r="5" customFormat="false" ht="15" hidden="false" customHeight="false" outlineLevel="0" collapsed="false">
      <c r="A5" s="4"/>
      <c r="B5" s="4" t="s">
        <v>149</v>
      </c>
      <c r="C5" s="7" t="n">
        <v>5000</v>
      </c>
      <c r="D5" s="7" t="n">
        <v>10000</v>
      </c>
      <c r="E5" s="6"/>
      <c r="F5" s="4" t="s">
        <v>150</v>
      </c>
    </row>
    <row r="6" customFormat="false" ht="15" hidden="false" customHeight="false" outlineLevel="0" collapsed="false">
      <c r="A6" s="4"/>
      <c r="B6" s="4" t="s">
        <v>151</v>
      </c>
      <c r="C6" s="7" t="n">
        <v>8000</v>
      </c>
      <c r="D6" s="7" t="n">
        <v>15000</v>
      </c>
      <c r="E6" s="6"/>
      <c r="F6" s="4" t="s">
        <v>152</v>
      </c>
    </row>
    <row r="7" customFormat="false" ht="15" hidden="false" customHeight="false" outlineLevel="0" collapsed="false">
      <c r="A7" s="4"/>
      <c r="B7" s="4" t="s">
        <v>153</v>
      </c>
      <c r="C7" s="8" t="n">
        <f aca="false">SUM(C3:C5)</f>
        <v>6488</v>
      </c>
      <c r="D7" s="8" t="n">
        <f aca="false">SUM(D3:D5)</f>
        <v>11488</v>
      </c>
      <c r="E7" s="9" t="n">
        <f aca="false">SUM(E3:E5)</f>
        <v>0</v>
      </c>
      <c r="F7" s="4"/>
    </row>
    <row r="8" customFormat="false" ht="15" hidden="false" customHeight="false" outlineLevel="0" collapsed="false">
      <c r="A8" s="2" t="s">
        <v>154</v>
      </c>
      <c r="B8" s="2"/>
      <c r="C8" s="2"/>
      <c r="D8" s="2"/>
      <c r="E8" s="6"/>
      <c r="F8" s="2"/>
    </row>
    <row r="9" customFormat="false" ht="15" hidden="false" customHeight="false" outlineLevel="0" collapsed="false">
      <c r="A9" s="4"/>
      <c r="B9" s="4" t="s">
        <v>155</v>
      </c>
      <c r="C9" s="7" t="n">
        <v>30000</v>
      </c>
      <c r="D9" s="7" t="n">
        <v>120000</v>
      </c>
      <c r="E9" s="6"/>
      <c r="F9" s="4" t="s">
        <v>156</v>
      </c>
    </row>
    <row r="10" customFormat="false" ht="23.85" hidden="false" customHeight="false" outlineLevel="0" collapsed="false">
      <c r="A10" s="4"/>
      <c r="B10" s="4" t="s">
        <v>157</v>
      </c>
      <c r="C10" s="7" t="n">
        <v>8000</v>
      </c>
      <c r="D10" s="7" t="n">
        <v>25000</v>
      </c>
      <c r="E10" s="6"/>
      <c r="F10" s="4" t="s">
        <v>158</v>
      </c>
    </row>
    <row r="11" customFormat="false" ht="15" hidden="false" customHeight="false" outlineLevel="0" collapsed="false">
      <c r="A11" s="4"/>
      <c r="B11" s="4" t="s">
        <v>159</v>
      </c>
      <c r="C11" s="7" t="n">
        <v>5000</v>
      </c>
      <c r="D11" s="7" t="n">
        <v>15000</v>
      </c>
      <c r="E11" s="6"/>
      <c r="F11" s="4" t="s">
        <v>160</v>
      </c>
    </row>
    <row r="12" customFormat="false" ht="15" hidden="false" customHeight="false" outlineLevel="0" collapsed="false">
      <c r="A12" s="4"/>
      <c r="B12" s="4" t="s">
        <v>161</v>
      </c>
      <c r="C12" s="7" t="n">
        <v>3000</v>
      </c>
      <c r="D12" s="7" t="n">
        <v>10000</v>
      </c>
      <c r="E12" s="6"/>
      <c r="F12" s="4" t="s">
        <v>162</v>
      </c>
    </row>
    <row r="13" customFormat="false" ht="15" hidden="false" customHeight="false" outlineLevel="0" collapsed="false">
      <c r="A13" s="4"/>
      <c r="B13" s="4" t="s">
        <v>163</v>
      </c>
      <c r="C13" s="8" t="n">
        <f aca="false">SUM(C9:C12)</f>
        <v>46000</v>
      </c>
      <c r="D13" s="8" t="n">
        <f aca="false">SUM(D9:D12)</f>
        <v>170000</v>
      </c>
      <c r="E13" s="9" t="n">
        <f aca="false">SUM(E9:E12)</f>
        <v>0</v>
      </c>
      <c r="F13" s="4" t="s">
        <v>164</v>
      </c>
    </row>
    <row r="14" customFormat="false" ht="15" hidden="false" customHeight="false" outlineLevel="0" collapsed="false">
      <c r="A14" s="4"/>
      <c r="B14" s="4" t="s">
        <v>165</v>
      </c>
      <c r="C14" s="4"/>
      <c r="D14" s="4"/>
      <c r="E14" s="6"/>
      <c r="F14" s="4"/>
    </row>
    <row r="15" customFormat="false" ht="15" hidden="false" customHeight="false" outlineLevel="0" collapsed="false">
      <c r="A15" s="2" t="s">
        <v>166</v>
      </c>
      <c r="B15" s="2"/>
      <c r="C15" s="2"/>
      <c r="D15" s="2"/>
      <c r="E15" s="6"/>
      <c r="F15" s="2"/>
    </row>
    <row r="16" customFormat="false" ht="15" hidden="false" customHeight="false" outlineLevel="0" collapsed="false">
      <c r="A16" s="4"/>
      <c r="B16" s="4" t="s">
        <v>167</v>
      </c>
      <c r="C16" s="7" t="n">
        <v>15000</v>
      </c>
      <c r="D16" s="7" t="n">
        <v>60000</v>
      </c>
      <c r="E16" s="6"/>
      <c r="F16" s="4" t="s">
        <v>64</v>
      </c>
    </row>
    <row r="17" customFormat="false" ht="15" hidden="false" customHeight="false" outlineLevel="0" collapsed="false">
      <c r="A17" s="4"/>
      <c r="B17" s="4" t="s">
        <v>168</v>
      </c>
      <c r="C17" s="7" t="n">
        <v>5000</v>
      </c>
      <c r="D17" s="7" t="n">
        <v>15000</v>
      </c>
      <c r="E17" s="6"/>
      <c r="F17" s="4" t="s">
        <v>169</v>
      </c>
    </row>
    <row r="18" customFormat="false" ht="15" hidden="false" customHeight="false" outlineLevel="0" collapsed="false">
      <c r="A18" s="4"/>
      <c r="B18" s="4" t="s">
        <v>170</v>
      </c>
      <c r="C18" s="7" t="n">
        <v>5000</v>
      </c>
      <c r="D18" s="7" t="n">
        <v>10000</v>
      </c>
      <c r="E18" s="6"/>
      <c r="F18" s="4" t="s">
        <v>171</v>
      </c>
    </row>
    <row r="19" customFormat="false" ht="15" hidden="false" customHeight="false" outlineLevel="0" collapsed="false">
      <c r="A19" s="4"/>
      <c r="B19" s="4" t="s">
        <v>172</v>
      </c>
      <c r="C19" s="7" t="n">
        <v>2000</v>
      </c>
      <c r="D19" s="7" t="n">
        <v>5000</v>
      </c>
      <c r="E19" s="6"/>
      <c r="F19" s="4" t="s">
        <v>173</v>
      </c>
    </row>
    <row r="20" customFormat="false" ht="15" hidden="false" customHeight="false" outlineLevel="0" collapsed="false">
      <c r="A20" s="4"/>
      <c r="B20" s="4" t="s">
        <v>174</v>
      </c>
      <c r="C20" s="8" t="n">
        <f aca="false">SUM(C15:C19)</f>
        <v>27000</v>
      </c>
      <c r="D20" s="8" t="n">
        <f aca="false">SUM(D15:D19)</f>
        <v>90000</v>
      </c>
      <c r="E20" s="9" t="n">
        <f aca="false">SUM(E15:E19)</f>
        <v>0</v>
      </c>
      <c r="F20" s="4" t="s">
        <v>175</v>
      </c>
    </row>
    <row r="21" customFormat="false" ht="15" hidden="false" customHeight="false" outlineLevel="0" collapsed="false">
      <c r="A21" s="4"/>
      <c r="B21" s="4" t="s">
        <v>176</v>
      </c>
      <c r="C21" s="4"/>
      <c r="D21" s="4"/>
      <c r="E21" s="6"/>
      <c r="F21" s="4"/>
    </row>
    <row r="22" customFormat="false" ht="15" hidden="false" customHeight="false" outlineLevel="0" collapsed="false">
      <c r="A22" s="2" t="s">
        <v>177</v>
      </c>
      <c r="B22" s="2"/>
      <c r="C22" s="2"/>
      <c r="D22" s="2"/>
      <c r="E22" s="6"/>
      <c r="F22" s="2"/>
    </row>
    <row r="23" customFormat="false" ht="15" hidden="false" customHeight="false" outlineLevel="0" collapsed="false">
      <c r="A23" s="4"/>
      <c r="B23" s="4" t="s">
        <v>178</v>
      </c>
      <c r="C23" s="7" t="n">
        <v>140000</v>
      </c>
      <c r="D23" s="7" t="n">
        <v>180000</v>
      </c>
      <c r="E23" s="6"/>
      <c r="F23" s="4" t="s">
        <v>179</v>
      </c>
    </row>
    <row r="24" customFormat="false" ht="15" hidden="false" customHeight="false" outlineLevel="0" collapsed="false">
      <c r="A24" s="4"/>
      <c r="B24" s="4" t="s">
        <v>180</v>
      </c>
      <c r="C24" s="7" t="n">
        <v>45000</v>
      </c>
      <c r="D24" s="7" t="n">
        <v>130000</v>
      </c>
      <c r="E24" s="6"/>
      <c r="F24" s="4" t="s">
        <v>181</v>
      </c>
    </row>
    <row r="25" customFormat="false" ht="15" hidden="false" customHeight="false" outlineLevel="0" collapsed="false">
      <c r="A25" s="4"/>
      <c r="B25" s="4" t="s">
        <v>182</v>
      </c>
      <c r="C25" s="7" t="n">
        <v>130000</v>
      </c>
      <c r="D25" s="7" t="n">
        <v>160000</v>
      </c>
      <c r="E25" s="6"/>
      <c r="F25" s="4" t="s">
        <v>183</v>
      </c>
    </row>
    <row r="26" customFormat="false" ht="15" hidden="false" customHeight="false" outlineLevel="0" collapsed="false">
      <c r="A26" s="4"/>
      <c r="B26" s="4" t="s">
        <v>184</v>
      </c>
      <c r="C26" s="8" t="n">
        <f aca="false">SUM(C22:C25)</f>
        <v>315000</v>
      </c>
      <c r="D26" s="8" t="n">
        <f aca="false">SUM(D22:D25)</f>
        <v>470000</v>
      </c>
      <c r="E26" s="9" t="n">
        <f aca="false">SUM(E22:E25)</f>
        <v>0</v>
      </c>
      <c r="F26" s="4" t="s">
        <v>185</v>
      </c>
    </row>
    <row r="27" customFormat="false" ht="15" hidden="false" customHeight="false" outlineLevel="0" collapsed="false">
      <c r="A27" s="4"/>
      <c r="B27" s="4" t="s">
        <v>186</v>
      </c>
      <c r="C27" s="4"/>
      <c r="D27" s="4"/>
      <c r="E27" s="6"/>
      <c r="F27" s="4"/>
    </row>
    <row r="28" customFormat="false" ht="15" hidden="false" customHeight="false" outlineLevel="0" collapsed="false">
      <c r="A28" s="4"/>
      <c r="B28" s="4"/>
      <c r="C28" s="4"/>
      <c r="D28" s="4"/>
      <c r="E28" s="6"/>
      <c r="F28" s="4"/>
    </row>
    <row r="29" customFormat="false" ht="23.85" hidden="false" customHeight="false" outlineLevel="0" collapsed="false">
      <c r="A29" s="10" t="s">
        <v>187</v>
      </c>
      <c r="B29" s="10"/>
      <c r="C29" s="11" t="n">
        <f aca="false">C7+C13+C20+C26</f>
        <v>394488</v>
      </c>
      <c r="D29" s="11" t="n">
        <f aca="false">D7+D13+D20+D26</f>
        <v>741488</v>
      </c>
      <c r="E29" s="12" t="n">
        <f aca="false">E7+E13+E20+E26</f>
        <v>0</v>
      </c>
      <c r="F29" s="10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3"/>
  </cols>
  <sheetData>
    <row r="1" customFormat="false" ht="16.15" hidden="false" customHeight="false" outlineLevel="0" collapsed="false">
      <c r="A1" s="13" t="s">
        <v>189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customFormat="false" ht="15" hidden="false" customHeight="false" outlineLevel="0" collapsed="false">
      <c r="A3" s="14" t="s">
        <v>190</v>
      </c>
    </row>
    <row r="4" customFormat="false" ht="15" hidden="false" customHeight="false" outlineLevel="0" collapsed="false">
      <c r="A4" s="15" t="s">
        <v>191</v>
      </c>
      <c r="B4" s="16" t="n">
        <v>2000</v>
      </c>
      <c r="C4" s="17" t="s">
        <v>192</v>
      </c>
    </row>
    <row r="5" customFormat="false" ht="15" hidden="false" customHeight="false" outlineLevel="0" collapsed="false">
      <c r="A5" s="15" t="s">
        <v>193</v>
      </c>
      <c r="B5" s="18" t="n">
        <v>0.4</v>
      </c>
      <c r="C5" s="17" t="s">
        <v>194</v>
      </c>
    </row>
    <row r="6" customFormat="false" ht="15" hidden="false" customHeight="false" outlineLevel="0" collapsed="false">
      <c r="A6" s="15" t="s">
        <v>195</v>
      </c>
      <c r="B6" s="18" t="n">
        <v>0.7</v>
      </c>
      <c r="C6" s="17" t="s">
        <v>196</v>
      </c>
    </row>
    <row r="7" customFormat="false" ht="15" hidden="false" customHeight="false" outlineLevel="0" collapsed="false">
      <c r="A7" s="15" t="s">
        <v>197</v>
      </c>
      <c r="B7" s="18" t="n">
        <v>0.85</v>
      </c>
      <c r="C7" s="17" t="s">
        <v>198</v>
      </c>
    </row>
    <row r="8" customFormat="false" ht="15" hidden="false" customHeight="false" outlineLevel="0" collapsed="false">
      <c r="A8" s="15" t="s">
        <v>199</v>
      </c>
      <c r="B8" s="19" t="n">
        <v>25</v>
      </c>
      <c r="C8" s="17" t="s">
        <v>200</v>
      </c>
    </row>
    <row r="9" customFormat="false" ht="15" hidden="false" customHeight="false" outlineLevel="0" collapsed="false">
      <c r="A9" s="15" t="s">
        <v>201</v>
      </c>
      <c r="B9" s="16" t="n">
        <v>30000</v>
      </c>
      <c r="C9" s="17" t="s">
        <v>202</v>
      </c>
    </row>
    <row r="10" customFormat="false" ht="15" hidden="false" customHeight="false" outlineLevel="0" collapsed="false">
      <c r="A10" s="15" t="s">
        <v>203</v>
      </c>
      <c r="B10" s="18" t="n">
        <v>0.1</v>
      </c>
      <c r="C10" s="17" t="s">
        <v>204</v>
      </c>
    </row>
    <row r="11" customFormat="false" ht="15" hidden="false" customHeight="false" outlineLevel="0" collapsed="false">
      <c r="A11" s="15" t="s">
        <v>205</v>
      </c>
      <c r="B11" s="19" t="n">
        <v>45</v>
      </c>
      <c r="C11" s="17" t="s">
        <v>206</v>
      </c>
    </row>
    <row r="14" customFormat="false" ht="15" hidden="false" customHeight="false" outlineLevel="0" collapsed="false">
      <c r="A14" s="1" t="s">
        <v>207</v>
      </c>
      <c r="B14" s="1" t="s">
        <v>208</v>
      </c>
      <c r="C14" s="1" t="s">
        <v>209</v>
      </c>
      <c r="D14" s="1" t="s">
        <v>58</v>
      </c>
      <c r="E14" s="1" t="s">
        <v>99</v>
      </c>
      <c r="F14" s="1" t="s">
        <v>104</v>
      </c>
      <c r="G14" s="1" t="s">
        <v>113</v>
      </c>
      <c r="H14" s="1" t="s">
        <v>210</v>
      </c>
      <c r="I14" s="1" t="s">
        <v>211</v>
      </c>
      <c r="J14" s="1" t="s">
        <v>212</v>
      </c>
      <c r="K14" s="1" t="s">
        <v>213</v>
      </c>
      <c r="L14" s="1" t="s">
        <v>214</v>
      </c>
      <c r="M14" s="1" t="s">
        <v>215</v>
      </c>
      <c r="N14" s="1" t="s">
        <v>216</v>
      </c>
    </row>
    <row r="15" customFormat="false" ht="15" hidden="false" customHeight="false" outlineLevel="0" collapsed="false">
      <c r="A15" s="20" t="s">
        <v>217</v>
      </c>
      <c r="B15" s="21" t="n">
        <v>0</v>
      </c>
      <c r="C15" s="21" t="n">
        <v>0</v>
      </c>
      <c r="D15" s="21" t="n">
        <v>0.4</v>
      </c>
      <c r="E15" s="21" t="n">
        <v>0.55</v>
      </c>
      <c r="F15" s="21" t="n">
        <v>0.63</v>
      </c>
      <c r="G15" s="21" t="n">
        <v>0.7</v>
      </c>
      <c r="H15" s="21" t="n">
        <v>0.75</v>
      </c>
      <c r="I15" s="21" t="n">
        <v>0.78</v>
      </c>
      <c r="J15" s="21" t="n">
        <v>0.85</v>
      </c>
      <c r="K15" s="21" t="n">
        <v>0.85</v>
      </c>
      <c r="L15" s="21" t="n">
        <v>0.85</v>
      </c>
      <c r="M15" s="21" t="n">
        <v>0.85</v>
      </c>
      <c r="N15" s="22"/>
    </row>
    <row r="16" customFormat="false" ht="15" hidden="false" customHeight="false" outlineLevel="0" collapsed="false">
      <c r="A16" s="20" t="s">
        <v>218</v>
      </c>
      <c r="B16" s="23" t="n">
        <f aca="false">$B$4*B15</f>
        <v>0</v>
      </c>
      <c r="C16" s="23" t="n">
        <f aca="false">$B$4*C15</f>
        <v>0</v>
      </c>
      <c r="D16" s="23" t="n">
        <f aca="false">$B$4*D15</f>
        <v>800</v>
      </c>
      <c r="E16" s="23" t="n">
        <f aca="false">$B$4*E15</f>
        <v>1100</v>
      </c>
      <c r="F16" s="23" t="n">
        <f aca="false">$B$4*F15</f>
        <v>1260</v>
      </c>
      <c r="G16" s="23" t="n">
        <f aca="false">$B$4*G15</f>
        <v>1400</v>
      </c>
      <c r="H16" s="23" t="n">
        <f aca="false">$B$4*H15</f>
        <v>1500</v>
      </c>
      <c r="I16" s="23" t="n">
        <f aca="false">$B$4*I15</f>
        <v>1560</v>
      </c>
      <c r="J16" s="23" t="n">
        <f aca="false">$B$4*J15</f>
        <v>1700</v>
      </c>
      <c r="K16" s="23" t="n">
        <f aca="false">$B$4*K15</f>
        <v>1700</v>
      </c>
      <c r="L16" s="23" t="n">
        <f aca="false">$B$4*L15</f>
        <v>1700</v>
      </c>
      <c r="M16" s="23" t="n">
        <f aca="false">$B$4*M15</f>
        <v>1700</v>
      </c>
      <c r="N16" s="24" t="n">
        <f aca="false">SUM(B16:M16)</f>
        <v>14420</v>
      </c>
    </row>
    <row r="17" customFormat="false" ht="15" hidden="false" customHeight="false" outlineLevel="0" collapsed="false">
      <c r="A17" s="20" t="s">
        <v>219</v>
      </c>
      <c r="B17" s="25" t="n">
        <f aca="false">B16*$B$8</f>
        <v>0</v>
      </c>
      <c r="C17" s="25" t="n">
        <f aca="false">C16*$B$8</f>
        <v>0</v>
      </c>
      <c r="D17" s="25" t="n">
        <f aca="false">D16*$B$8</f>
        <v>20000</v>
      </c>
      <c r="E17" s="25" t="n">
        <f aca="false">E16*$B$8</f>
        <v>27500</v>
      </c>
      <c r="F17" s="25" t="n">
        <f aca="false">F16*$B$8</f>
        <v>31500</v>
      </c>
      <c r="G17" s="25" t="n">
        <f aca="false">G16*$B$8</f>
        <v>35000</v>
      </c>
      <c r="H17" s="25" t="n">
        <f aca="false">H16*$B$8</f>
        <v>37500</v>
      </c>
      <c r="I17" s="25" t="n">
        <f aca="false">I16*$B$8</f>
        <v>39000</v>
      </c>
      <c r="J17" s="25" t="n">
        <f aca="false">J16*$B$8</f>
        <v>42500</v>
      </c>
      <c r="K17" s="25" t="n">
        <f aca="false">K16*$B$8</f>
        <v>42500</v>
      </c>
      <c r="L17" s="25" t="n">
        <f aca="false">L16*$B$8</f>
        <v>42500</v>
      </c>
      <c r="M17" s="25" t="n">
        <f aca="false">M16*$B$8</f>
        <v>42500</v>
      </c>
      <c r="N17" s="24" t="n">
        <f aca="false">SUM(B17:M17)</f>
        <v>360500</v>
      </c>
    </row>
    <row r="18" customFormat="false" ht="15" hidden="false" customHeight="false" outlineLevel="0" collapsed="false">
      <c r="A18" s="20" t="s">
        <v>220</v>
      </c>
      <c r="B18" s="25" t="n">
        <v>0</v>
      </c>
      <c r="C18" s="25" t="n">
        <v>0</v>
      </c>
      <c r="D18" s="25" t="n">
        <f aca="false">$B$9</f>
        <v>30000</v>
      </c>
      <c r="E18" s="25" t="n">
        <f aca="false">$B$9</f>
        <v>30000</v>
      </c>
      <c r="F18" s="25" t="n">
        <f aca="false">$B$9</f>
        <v>30000</v>
      </c>
      <c r="G18" s="25" t="n">
        <f aca="false">$B$9</f>
        <v>30000</v>
      </c>
      <c r="H18" s="25" t="n">
        <f aca="false">$B$9</f>
        <v>30000</v>
      </c>
      <c r="I18" s="25" t="n">
        <f aca="false">$B$9</f>
        <v>30000</v>
      </c>
      <c r="J18" s="25" t="n">
        <f aca="false">$B$9</f>
        <v>30000</v>
      </c>
      <c r="K18" s="25" t="n">
        <f aca="false">$B$9</f>
        <v>30000</v>
      </c>
      <c r="L18" s="25" t="n">
        <f aca="false">$B$9</f>
        <v>30000</v>
      </c>
      <c r="M18" s="25" t="n">
        <f aca="false">$B$9</f>
        <v>30000</v>
      </c>
      <c r="N18" s="24" t="n">
        <f aca="false">SUM(B18:M18)</f>
        <v>300000</v>
      </c>
    </row>
    <row r="19" customFormat="false" ht="15" hidden="false" customHeight="false" outlineLevel="0" collapsed="false">
      <c r="A19" s="26" t="s">
        <v>221</v>
      </c>
      <c r="B19" s="27" t="n">
        <f aca="false">B17-B18</f>
        <v>0</v>
      </c>
      <c r="C19" s="27" t="n">
        <f aca="false">C17-C18</f>
        <v>0</v>
      </c>
      <c r="D19" s="27" t="n">
        <f aca="false">D17-D18</f>
        <v>-10000</v>
      </c>
      <c r="E19" s="27" t="n">
        <f aca="false">E17-E18</f>
        <v>-2500</v>
      </c>
      <c r="F19" s="27" t="n">
        <f aca="false">F17-F18</f>
        <v>1500</v>
      </c>
      <c r="G19" s="27" t="n">
        <f aca="false">G17-G18</f>
        <v>5000</v>
      </c>
      <c r="H19" s="27" t="n">
        <f aca="false">H17-H18</f>
        <v>7500</v>
      </c>
      <c r="I19" s="27" t="n">
        <f aca="false">I17-I18</f>
        <v>9000</v>
      </c>
      <c r="J19" s="27" t="n">
        <f aca="false">J17-J18</f>
        <v>12500</v>
      </c>
      <c r="K19" s="27" t="n">
        <f aca="false">K17-K18</f>
        <v>12500</v>
      </c>
      <c r="L19" s="27" t="n">
        <f aca="false">L17-L18</f>
        <v>12500</v>
      </c>
      <c r="M19" s="27" t="n">
        <f aca="false">M17-M18</f>
        <v>12500</v>
      </c>
      <c r="N19" s="27" t="n">
        <f aca="false">SUM(B19:M19)</f>
        <v>60500</v>
      </c>
    </row>
    <row r="20" customFormat="false" ht="15" hidden="false" customHeight="false" outlineLevel="0" collapsed="false">
      <c r="A20" s="20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customFormat="false" ht="15" hidden="false" customHeight="false" outlineLevel="0" collapsed="false">
      <c r="A21" s="20" t="s">
        <v>222</v>
      </c>
      <c r="B21" s="25" t="n">
        <f aca="false">B17*$B$10</f>
        <v>0</v>
      </c>
      <c r="C21" s="25" t="n">
        <f aca="false">C17*$B$10</f>
        <v>0</v>
      </c>
      <c r="D21" s="25" t="n">
        <f aca="false">D17*$B$10</f>
        <v>2000</v>
      </c>
      <c r="E21" s="25" t="n">
        <f aca="false">E17*$B$10</f>
        <v>2750</v>
      </c>
      <c r="F21" s="25" t="n">
        <f aca="false">F17*$B$10</f>
        <v>3150</v>
      </c>
      <c r="G21" s="25" t="n">
        <f aca="false">G17*$B$10</f>
        <v>3500</v>
      </c>
      <c r="H21" s="25" t="n">
        <f aca="false">H17*$B$10</f>
        <v>3750</v>
      </c>
      <c r="I21" s="25" t="n">
        <f aca="false">I17*$B$10</f>
        <v>3900</v>
      </c>
      <c r="J21" s="25" t="n">
        <f aca="false">J17*$B$10</f>
        <v>4250</v>
      </c>
      <c r="K21" s="25" t="n">
        <f aca="false">K17*$B$10</f>
        <v>4250</v>
      </c>
      <c r="L21" s="25" t="n">
        <f aca="false">L17*$B$10</f>
        <v>4250</v>
      </c>
      <c r="M21" s="25" t="n">
        <f aca="false">M17*$B$10</f>
        <v>4250</v>
      </c>
      <c r="N21" s="24" t="n">
        <f aca="false">SUM(B21:M21)</f>
        <v>36050</v>
      </c>
    </row>
    <row r="22" customFormat="false" ht="15" hidden="false" customHeight="false" outlineLevel="0" collapsed="false">
      <c r="A22" s="20" t="s">
        <v>223</v>
      </c>
      <c r="B22" s="25" t="n">
        <f aca="false">B21*1.5</f>
        <v>0</v>
      </c>
      <c r="C22" s="25" t="n">
        <f aca="false">C21*1.5</f>
        <v>0</v>
      </c>
      <c r="D22" s="25" t="n">
        <f aca="false">D21*1.5</f>
        <v>3000</v>
      </c>
      <c r="E22" s="25" t="n">
        <f aca="false">E21*1.5</f>
        <v>4125</v>
      </c>
      <c r="F22" s="25" t="n">
        <f aca="false">F21*1.5</f>
        <v>4725</v>
      </c>
      <c r="G22" s="25" t="n">
        <f aca="false">G21*1.5</f>
        <v>5250</v>
      </c>
      <c r="H22" s="25" t="n">
        <f aca="false">H21*1.5</f>
        <v>5625</v>
      </c>
      <c r="I22" s="25" t="n">
        <f aca="false">I21*1.5</f>
        <v>5850</v>
      </c>
      <c r="J22" s="25" t="n">
        <f aca="false">J21*1.5</f>
        <v>6375</v>
      </c>
      <c r="K22" s="25" t="n">
        <f aca="false">K21*1.5</f>
        <v>6375</v>
      </c>
      <c r="L22" s="25" t="n">
        <f aca="false">L21*1.5</f>
        <v>6375</v>
      </c>
      <c r="M22" s="25" t="n">
        <f aca="false">M21*1.5</f>
        <v>6375</v>
      </c>
      <c r="N22" s="22"/>
    </row>
    <row r="23" customFormat="false" ht="15" hidden="false" customHeight="false" outlineLevel="0" collapsed="false">
      <c r="A23" s="28" t="s">
        <v>224</v>
      </c>
      <c r="B23" s="29" t="n">
        <f aca="false">B19</f>
        <v>0</v>
      </c>
      <c r="C23" s="29" t="n">
        <f aca="false">B23+C19</f>
        <v>0</v>
      </c>
      <c r="D23" s="29" t="n">
        <f aca="false">C23+D19</f>
        <v>-10000</v>
      </c>
      <c r="E23" s="29" t="n">
        <f aca="false">D23+E19</f>
        <v>-12500</v>
      </c>
      <c r="F23" s="29" t="n">
        <f aca="false">E23+F19</f>
        <v>-11000</v>
      </c>
      <c r="G23" s="29" t="n">
        <f aca="false">F23+G19</f>
        <v>-6000</v>
      </c>
      <c r="H23" s="29" t="n">
        <f aca="false">G23+H19</f>
        <v>1500</v>
      </c>
      <c r="I23" s="29" t="n">
        <f aca="false">H23+I19</f>
        <v>10500</v>
      </c>
      <c r="J23" s="29" t="n">
        <f aca="false">I23+J19</f>
        <v>23000</v>
      </c>
      <c r="K23" s="29" t="n">
        <f aca="false">J23+K19</f>
        <v>35500</v>
      </c>
      <c r="L23" s="29" t="n">
        <f aca="false">K23+L19</f>
        <v>48000</v>
      </c>
      <c r="M23" s="29" t="n">
        <f aca="false">L23+M19</f>
        <v>60500</v>
      </c>
      <c r="N23" s="30" t="n">
        <f aca="false">M23</f>
        <v>60500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5"/>
  </cols>
  <sheetData>
    <row r="1" customFormat="false" ht="26.85" hidden="false" customHeight="false" outlineLevel="0" collapsed="false">
      <c r="A1" s="1" t="s">
        <v>225</v>
      </c>
      <c r="B1" s="1" t="s">
        <v>226</v>
      </c>
      <c r="C1" s="1" t="s">
        <v>227</v>
      </c>
      <c r="D1" s="1" t="s">
        <v>2</v>
      </c>
      <c r="E1" s="1" t="s">
        <v>4</v>
      </c>
      <c r="F1" s="1" t="s">
        <v>228</v>
      </c>
      <c r="G1" s="1" t="s">
        <v>229</v>
      </c>
    </row>
    <row r="2" customFormat="false" ht="15" hidden="false" customHeight="false" outlineLevel="0" collapsed="false">
      <c r="A2" s="2" t="s">
        <v>230</v>
      </c>
      <c r="B2" s="2" t="s">
        <v>231</v>
      </c>
      <c r="C2" s="2" t="s">
        <v>123</v>
      </c>
      <c r="D2" s="2" t="s">
        <v>122</v>
      </c>
      <c r="E2" s="3" t="s">
        <v>11</v>
      </c>
      <c r="F2" s="3"/>
      <c r="G2" s="2" t="s">
        <v>232</v>
      </c>
    </row>
    <row r="3" customFormat="false" ht="23.85" hidden="false" customHeight="false" outlineLevel="0" collapsed="false">
      <c r="A3" s="4"/>
      <c r="B3" s="4" t="s">
        <v>233</v>
      </c>
      <c r="C3" s="4" t="s">
        <v>123</v>
      </c>
      <c r="D3" s="4" t="s">
        <v>92</v>
      </c>
      <c r="E3" s="5" t="s">
        <v>11</v>
      </c>
      <c r="F3" s="5"/>
      <c r="G3" s="4" t="s">
        <v>234</v>
      </c>
    </row>
    <row r="4" customFormat="false" ht="23.85" hidden="false" customHeight="false" outlineLevel="0" collapsed="false">
      <c r="A4" s="4"/>
      <c r="B4" s="4" t="s">
        <v>235</v>
      </c>
      <c r="C4" s="4" t="s">
        <v>123</v>
      </c>
      <c r="D4" s="4" t="s">
        <v>122</v>
      </c>
      <c r="E4" s="5" t="s">
        <v>11</v>
      </c>
      <c r="F4" s="5"/>
      <c r="G4" s="4" t="s">
        <v>236</v>
      </c>
    </row>
    <row r="5" customFormat="false" ht="23.85" hidden="false" customHeight="false" outlineLevel="0" collapsed="false">
      <c r="A5" s="2" t="s">
        <v>237</v>
      </c>
      <c r="B5" s="2" t="s">
        <v>238</v>
      </c>
      <c r="C5" s="2" t="s">
        <v>123</v>
      </c>
      <c r="D5" s="2" t="s">
        <v>239</v>
      </c>
      <c r="E5" s="3" t="s">
        <v>11</v>
      </c>
      <c r="F5" s="3"/>
      <c r="G5" s="2" t="s">
        <v>240</v>
      </c>
    </row>
    <row r="6" customFormat="false" ht="15" hidden="false" customHeight="false" outlineLevel="0" collapsed="false">
      <c r="A6" s="4"/>
      <c r="B6" s="4" t="s">
        <v>241</v>
      </c>
      <c r="C6" s="4" t="s">
        <v>123</v>
      </c>
      <c r="D6" s="4" t="s">
        <v>92</v>
      </c>
      <c r="E6" s="5" t="s">
        <v>11</v>
      </c>
      <c r="F6" s="5"/>
      <c r="G6" s="4" t="s">
        <v>242</v>
      </c>
    </row>
    <row r="7" customFormat="false" ht="23.85" hidden="false" customHeight="false" outlineLevel="0" collapsed="false">
      <c r="A7" s="4"/>
      <c r="B7" s="4" t="s">
        <v>243</v>
      </c>
      <c r="C7" s="4" t="s">
        <v>128</v>
      </c>
      <c r="D7" s="4" t="s">
        <v>244</v>
      </c>
      <c r="E7" s="5" t="s">
        <v>11</v>
      </c>
      <c r="F7" s="5"/>
      <c r="G7" s="4" t="s">
        <v>245</v>
      </c>
    </row>
    <row r="8" customFormat="false" ht="15" hidden="false" customHeight="false" outlineLevel="0" collapsed="false">
      <c r="A8" s="2" t="s">
        <v>246</v>
      </c>
      <c r="B8" s="2" t="s">
        <v>247</v>
      </c>
      <c r="C8" s="2" t="s">
        <v>123</v>
      </c>
      <c r="D8" s="2" t="s">
        <v>92</v>
      </c>
      <c r="E8" s="3" t="s">
        <v>11</v>
      </c>
      <c r="F8" s="3"/>
      <c r="G8" s="2" t="s">
        <v>248</v>
      </c>
    </row>
    <row r="9" customFormat="false" ht="15" hidden="false" customHeight="false" outlineLevel="0" collapsed="false">
      <c r="A9" s="4"/>
      <c r="B9" s="4" t="s">
        <v>249</v>
      </c>
      <c r="C9" s="4" t="s">
        <v>250</v>
      </c>
      <c r="D9" s="4" t="s">
        <v>251</v>
      </c>
      <c r="E9" s="5" t="s">
        <v>11</v>
      </c>
      <c r="F9" s="5"/>
      <c r="G9" s="4" t="s">
        <v>252</v>
      </c>
    </row>
    <row r="10" customFormat="false" ht="15" hidden="false" customHeight="false" outlineLevel="0" collapsed="false">
      <c r="A10" s="4"/>
      <c r="B10" s="4" t="s">
        <v>253</v>
      </c>
      <c r="C10" s="4" t="s">
        <v>133</v>
      </c>
      <c r="D10" s="4" t="s">
        <v>40</v>
      </c>
      <c r="E10" s="5" t="s">
        <v>11</v>
      </c>
      <c r="F10" s="5"/>
      <c r="G10" s="4" t="s">
        <v>254</v>
      </c>
    </row>
    <row r="11" customFormat="false" ht="23.85" hidden="false" customHeight="false" outlineLevel="0" collapsed="false">
      <c r="A11" s="2" t="s">
        <v>255</v>
      </c>
      <c r="B11" s="2" t="s">
        <v>256</v>
      </c>
      <c r="C11" s="2" t="s">
        <v>123</v>
      </c>
      <c r="D11" s="2" t="s">
        <v>122</v>
      </c>
      <c r="E11" s="3" t="s">
        <v>11</v>
      </c>
      <c r="F11" s="3"/>
      <c r="G11" s="2" t="s">
        <v>257</v>
      </c>
    </row>
    <row r="12" customFormat="false" ht="15" hidden="false" customHeight="false" outlineLevel="0" collapsed="false">
      <c r="A12" s="4"/>
      <c r="B12" s="4" t="s">
        <v>258</v>
      </c>
      <c r="C12" s="4" t="s">
        <v>259</v>
      </c>
      <c r="D12" s="4" t="s">
        <v>260</v>
      </c>
      <c r="E12" s="5" t="s">
        <v>11</v>
      </c>
      <c r="F12" s="5"/>
      <c r="G12" s="4" t="s">
        <v>261</v>
      </c>
    </row>
    <row r="13" customFormat="false" ht="23.85" hidden="false" customHeight="false" outlineLevel="0" collapsed="false">
      <c r="A13" s="4"/>
      <c r="B13" s="4" t="s">
        <v>262</v>
      </c>
      <c r="C13" s="4" t="s">
        <v>123</v>
      </c>
      <c r="D13" s="4" t="s">
        <v>122</v>
      </c>
      <c r="E13" s="5" t="s">
        <v>11</v>
      </c>
      <c r="F13" s="5"/>
      <c r="G13" s="4" t="s">
        <v>263</v>
      </c>
    </row>
    <row r="14" customFormat="false" ht="15" hidden="false" customHeight="false" outlineLevel="0" collapsed="false">
      <c r="A14" s="2" t="s">
        <v>264</v>
      </c>
      <c r="B14" s="2" t="s">
        <v>265</v>
      </c>
      <c r="C14" s="2" t="s">
        <v>133</v>
      </c>
      <c r="D14" s="2" t="s">
        <v>40</v>
      </c>
      <c r="E14" s="3" t="s">
        <v>11</v>
      </c>
      <c r="F14" s="3"/>
      <c r="G14" s="2" t="s">
        <v>266</v>
      </c>
    </row>
    <row r="15" customFormat="false" ht="15" hidden="false" customHeight="false" outlineLevel="0" collapsed="false">
      <c r="A15" s="4"/>
      <c r="B15" s="4" t="s">
        <v>267</v>
      </c>
      <c r="C15" s="4" t="s">
        <v>133</v>
      </c>
      <c r="D15" s="4" t="s">
        <v>40</v>
      </c>
      <c r="E15" s="5" t="s">
        <v>11</v>
      </c>
      <c r="F15" s="5"/>
      <c r="G15" s="4" t="s">
        <v>268</v>
      </c>
    </row>
    <row r="16" customFormat="false" ht="15" hidden="false" customHeight="false" outlineLevel="0" collapsed="false">
      <c r="A16" s="4"/>
      <c r="B16" s="4" t="s">
        <v>269</v>
      </c>
      <c r="C16" s="4" t="s">
        <v>133</v>
      </c>
      <c r="D16" s="4" t="s">
        <v>40</v>
      </c>
      <c r="E16" s="5" t="s">
        <v>11</v>
      </c>
      <c r="F16" s="5"/>
      <c r="G16" s="4" t="s">
        <v>270</v>
      </c>
    </row>
    <row r="17" customFormat="false" ht="15" hidden="false" customHeight="false" outlineLevel="0" collapsed="false">
      <c r="A17" s="2" t="s">
        <v>271</v>
      </c>
      <c r="B17" s="2" t="s">
        <v>272</v>
      </c>
      <c r="C17" s="2" t="s">
        <v>133</v>
      </c>
      <c r="D17" s="2" t="s">
        <v>273</v>
      </c>
      <c r="E17" s="3" t="s">
        <v>11</v>
      </c>
      <c r="F17" s="3"/>
      <c r="G17" s="2" t="s">
        <v>274</v>
      </c>
    </row>
    <row r="18" customFormat="false" ht="15" hidden="false" customHeight="false" outlineLevel="0" collapsed="false">
      <c r="A18" s="2" t="s">
        <v>275</v>
      </c>
      <c r="B18" s="2" t="s">
        <v>276</v>
      </c>
      <c r="C18" s="2" t="s">
        <v>123</v>
      </c>
      <c r="D18" s="2" t="s">
        <v>92</v>
      </c>
      <c r="E18" s="3" t="s">
        <v>11</v>
      </c>
      <c r="F18" s="3"/>
      <c r="G18" s="2" t="s">
        <v>277</v>
      </c>
    </row>
    <row r="19" customFormat="false" ht="23.85" hidden="false" customHeight="false" outlineLevel="0" collapsed="false">
      <c r="A19" s="4"/>
      <c r="B19" s="4" t="s">
        <v>278</v>
      </c>
      <c r="C19" s="4" t="s">
        <v>123</v>
      </c>
      <c r="D19" s="4" t="s">
        <v>15</v>
      </c>
      <c r="E19" s="5" t="s">
        <v>11</v>
      </c>
      <c r="F19" s="5"/>
      <c r="G19" s="4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8" min="6" style="0" width="14"/>
  </cols>
  <sheetData>
    <row r="1" customFormat="false" ht="16.15" hidden="false" customHeight="false" outlineLevel="0" collapsed="false">
      <c r="A1" s="13" t="s">
        <v>280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31" t="s">
        <v>281</v>
      </c>
      <c r="B2" s="31"/>
      <c r="C2" s="31"/>
      <c r="D2" s="31"/>
      <c r="E2" s="31"/>
      <c r="F2" s="31"/>
      <c r="G2" s="31"/>
      <c r="H2" s="31"/>
    </row>
    <row r="3" customFormat="false" ht="15" hidden="false" customHeight="false" outlineLevel="0" collapsed="false">
      <c r="A3" s="1" t="s">
        <v>282</v>
      </c>
      <c r="B3" s="1" t="s">
        <v>2</v>
      </c>
      <c r="C3" s="1" t="s">
        <v>207</v>
      </c>
      <c r="D3" s="1" t="s">
        <v>283</v>
      </c>
      <c r="E3" s="1" t="s">
        <v>284</v>
      </c>
      <c r="F3" s="1" t="s">
        <v>285</v>
      </c>
      <c r="G3" s="1" t="s">
        <v>286</v>
      </c>
      <c r="H3" s="1" t="s">
        <v>4</v>
      </c>
    </row>
    <row r="4" customFormat="false" ht="23.85" hidden="false" customHeight="false" outlineLevel="0" collapsed="false">
      <c r="A4" s="4" t="s">
        <v>287</v>
      </c>
      <c r="B4" s="4" t="s">
        <v>31</v>
      </c>
      <c r="C4" s="4" t="s">
        <v>288</v>
      </c>
      <c r="D4" s="4" t="s">
        <v>289</v>
      </c>
      <c r="E4" s="4" t="s">
        <v>290</v>
      </c>
      <c r="F4" s="6"/>
      <c r="G4" s="6"/>
      <c r="H4" s="5" t="s">
        <v>11</v>
      </c>
    </row>
    <row r="5" customFormat="false" ht="23.85" hidden="false" customHeight="false" outlineLevel="0" collapsed="false">
      <c r="A5" s="4" t="s">
        <v>291</v>
      </c>
      <c r="B5" s="4" t="s">
        <v>292</v>
      </c>
      <c r="C5" s="4" t="s">
        <v>293</v>
      </c>
      <c r="D5" s="4"/>
      <c r="E5" s="4" t="s">
        <v>294</v>
      </c>
      <c r="F5" s="6"/>
      <c r="G5" s="6"/>
      <c r="H5" s="5" t="s">
        <v>11</v>
      </c>
    </row>
    <row r="6" customFormat="false" ht="23.85" hidden="false" customHeight="false" outlineLevel="0" collapsed="false">
      <c r="A6" s="4" t="s">
        <v>295</v>
      </c>
      <c r="B6" s="4" t="s">
        <v>296</v>
      </c>
      <c r="C6" s="4" t="s">
        <v>297</v>
      </c>
      <c r="D6" s="4" t="s">
        <v>298</v>
      </c>
      <c r="E6" s="4" t="s">
        <v>299</v>
      </c>
      <c r="F6" s="6"/>
      <c r="G6" s="6"/>
      <c r="H6" s="5" t="s">
        <v>11</v>
      </c>
    </row>
    <row r="7" customFormat="false" ht="15" hidden="false" customHeight="false" outlineLevel="0" collapsed="false">
      <c r="A7" s="4" t="s">
        <v>300</v>
      </c>
      <c r="B7" s="4" t="s">
        <v>117</v>
      </c>
      <c r="C7" s="4" t="s">
        <v>301</v>
      </c>
      <c r="D7" s="4" t="s">
        <v>302</v>
      </c>
      <c r="E7" s="4" t="s">
        <v>303</v>
      </c>
      <c r="F7" s="6"/>
      <c r="G7" s="6"/>
      <c r="H7" s="5" t="s">
        <v>11</v>
      </c>
    </row>
    <row r="8" customFormat="false" ht="23.85" hidden="false" customHeight="false" outlineLevel="0" collapsed="false">
      <c r="A8" s="4" t="s">
        <v>304</v>
      </c>
      <c r="B8" s="4" t="s">
        <v>305</v>
      </c>
      <c r="C8" s="4" t="s">
        <v>306</v>
      </c>
      <c r="D8" s="4" t="s">
        <v>307</v>
      </c>
      <c r="E8" s="4" t="s">
        <v>308</v>
      </c>
      <c r="F8" s="6"/>
      <c r="G8" s="6"/>
      <c r="H8" s="5" t="s">
        <v>11</v>
      </c>
    </row>
    <row r="9" customFormat="false" ht="15" hidden="false" customHeight="false" outlineLevel="0" collapsed="false">
      <c r="A9" s="4" t="s">
        <v>309</v>
      </c>
      <c r="B9" s="4" t="s">
        <v>15</v>
      </c>
      <c r="C9" s="4" t="s">
        <v>310</v>
      </c>
      <c r="D9" s="4" t="s">
        <v>302</v>
      </c>
      <c r="E9" s="4" t="s">
        <v>311</v>
      </c>
      <c r="F9" s="6"/>
      <c r="G9" s="6"/>
      <c r="H9" s="5" t="s">
        <v>11</v>
      </c>
    </row>
    <row r="10" customFormat="false" ht="15" hidden="false" customHeight="false" outlineLevel="0" collapsed="false">
      <c r="A10" s="4" t="s">
        <v>312</v>
      </c>
      <c r="B10" s="4" t="s">
        <v>273</v>
      </c>
      <c r="C10" s="4" t="s">
        <v>313</v>
      </c>
      <c r="D10" s="4" t="s">
        <v>314</v>
      </c>
      <c r="E10" s="4" t="s">
        <v>315</v>
      </c>
      <c r="F10" s="6"/>
      <c r="G10" s="6"/>
      <c r="H10" s="5" t="s">
        <v>11</v>
      </c>
    </row>
    <row r="11" customFormat="false" ht="23.85" hidden="false" customHeight="false" outlineLevel="0" collapsed="false">
      <c r="A11" s="4" t="s">
        <v>316</v>
      </c>
      <c r="B11" s="4" t="s">
        <v>108</v>
      </c>
      <c r="C11" s="4" t="s">
        <v>317</v>
      </c>
      <c r="D11" s="4"/>
      <c r="E11" s="4" t="s">
        <v>318</v>
      </c>
      <c r="F11" s="6"/>
      <c r="G11" s="6"/>
      <c r="H11" s="5" t="s">
        <v>11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2026-03-11T05:10:15Z</dcterms:created>
  <dc:creator>openpyxl</dc:creator>
  <dc:description/>
  <dc:language>en-US</dc:language>
  <cp:lastModifiedBy/>
  <dcterms:modified xsi:type="dcterms:W3CDTF">2026-03-11T05:10:15Z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