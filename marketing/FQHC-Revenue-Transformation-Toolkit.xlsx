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Assessment" sheetId="1" state="visible" r:id="rId3"/>
    <sheet name="Revenue Opportunities" sheetId="2" state="visible" r:id="rId4"/>
    <sheet name="OKR Tracker" sheetId="3" state="visible" r:id="rId5"/>
    <sheet name="Policy Deadli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<sst xmlns="http://schemas.openxmlformats.org/spreadsheetml/2006/main" count="210" uniqueCount="182">
  <si>
    <t xml:space="preserve">FQHC Revenue Diversification Self-Assessment</t>
  </si>
  <si>
    <t xml:space="preserve">Evaluate your current revenue mix and identify diversification opportunities</t>
  </si>
  <si>
    <t xml:space="preserve">Source: FQHC Talent Exchange (fqhctalent.com) | Blue cells = your inputs | Black cells = calculated</t>
  </si>
  <si>
    <t xml:space="preserve">SECTION 1: CURRENT REVENUE BASELINE</t>
  </si>
  <si>
    <t xml:space="preserve">Revenue Stream</t>
  </si>
  <si>
    <t xml:space="preserve">Current Annual ($)</t>
  </si>
  <si>
    <t xml:space="preserve">% of Total</t>
  </si>
  <si>
    <t xml:space="preserve">CA Benchmark %</t>
  </si>
  <si>
    <t xml:space="preserve">Gap vs Benchmark</t>
  </si>
  <si>
    <t xml:space="preserve">Action Required</t>
  </si>
  <si>
    <t xml:space="preserve">PPS Encounters (Medi-Cal)</t>
  </si>
  <si>
    <t xml:space="preserve">PPS Encounters (Medicare)</t>
  </si>
  <si>
    <t xml:space="preserve">Section 330 Grant (HRSA)</t>
  </si>
  <si>
    <t xml:space="preserve">340B Pharmacy Revenue</t>
  </si>
  <si>
    <t xml:space="preserve">ECM / CalAIM Revenue</t>
  </si>
  <si>
    <t xml:space="preserve">Dental PPS Revenue</t>
  </si>
  <si>
    <t xml:space="preserve">Behavioral Health Revenue</t>
  </si>
  <si>
    <t xml:space="preserve">DPC Subscriptions</t>
  </si>
  <si>
    <t xml:space="preserve">Grants (Non-HRSA)</t>
  </si>
  <si>
    <t xml:space="preserve">Other (Fundraising, Donations)</t>
  </si>
  <si>
    <t xml:space="preserve">TOTAL REVENUE</t>
  </si>
  <si>
    <t xml:space="preserve">SECTION 2: DEPENDENCY &amp; RISK SCORES</t>
  </si>
  <si>
    <t xml:space="preserve">Federal Dependency (HRSA + Medi-Cal %)</t>
  </si>
  <si>
    <t xml:space="preserve">Target: &lt;70%</t>
  </si>
  <si>
    <t xml:space="preserve">PPS Encounter Dependency</t>
  </si>
  <si>
    <t xml:space="preserve">Target: &lt;75%</t>
  </si>
  <si>
    <t xml:space="preserve">Non-Government Revenue %</t>
  </si>
  <si>
    <t xml:space="preserve">Target: &gt;15%</t>
  </si>
  <si>
    <t xml:space="preserve">Revenue Streams Active (of 10)</t>
  </si>
  <si>
    <t xml:space="preserve">Target: 6+</t>
  </si>
  <si>
    <t xml:space="preserve">Undocumented Patient Revenue at Risk ($)</t>
  </si>
  <si>
    <t xml:space="preserve">July 2026 PPS elimination</t>
  </si>
  <si>
    <t xml:space="preserve">CalAIM Revenue at Risk ($)</t>
  </si>
  <si>
    <t xml:space="preserve">Dec 2026 waiver expiry</t>
  </si>
  <si>
    <t xml:space="preserve">OVERALL RISK GRADE</t>
  </si>
  <si>
    <t xml:space="preserve">Revenue Opportunity Calculator</t>
  </si>
  <si>
    <t xml:space="preserve">Model the impact of each revenue strategy on your total revenue</t>
  </si>
  <si>
    <t xml:space="preserve">Strategy</t>
  </si>
  <si>
    <t xml:space="preserve">Estimated Annual Revenue</t>
  </si>
  <si>
    <t xml:space="preserve">Implementation Cost</t>
  </si>
  <si>
    <t xml:space="preserve">Months to ROI</t>
  </si>
  <si>
    <t xml:space="preserve">Difficulty</t>
  </si>
  <si>
    <t xml:space="preserve">Net Year 1 ($)</t>
  </si>
  <si>
    <t xml:space="preserve">Case Study / Source</t>
  </si>
  <si>
    <t xml:space="preserve">340B Entity-Owned Pharmacy</t>
  </si>
  <si>
    <t xml:space="preserve">Advanced</t>
  </si>
  <si>
    <t xml:space="preserve">Highland Health: 270% pharmacy revenue growth</t>
  </si>
  <si>
    <t xml:space="preserve">ECM Scaling (200 members)</t>
  </si>
  <si>
    <t xml:space="preserve">Intermediate</t>
  </si>
  <si>
    <t xml:space="preserve">AltaMed: CHW-led enrollment model</t>
  </si>
  <si>
    <t xml:space="preserve">Co-Visit Billing (Medicare)</t>
  </si>
  <si>
    <t xml:space="preserve">Starter</t>
  </si>
  <si>
    <t xml:space="preserve">CHCF: $23-232M lost statewide</t>
  </si>
  <si>
    <t xml:space="preserve">DPC Subscriptions (200 members)</t>
  </si>
  <si>
    <t xml:space="preserve">H.R. 1: HSA-eligible Jan 2026</t>
  </si>
  <si>
    <t xml:space="preserve">Revenue Cycle AI</t>
  </si>
  <si>
    <t xml:space="preserve">RapidClaims: 98% clean claims</t>
  </si>
  <si>
    <t xml:space="preserve">IPA Subsidiary</t>
  </si>
  <si>
    <t xml:space="preserve">United Health Centers SJV</t>
  </si>
  <si>
    <t xml:space="preserve">CHW Billing (New Medi-Cal Codes)</t>
  </si>
  <si>
    <t xml:space="preserve">Jan 2026 billing codes active</t>
  </si>
  <si>
    <t xml:space="preserve">Telehealth Expansion (20%)</t>
  </si>
  <si>
    <t xml:space="preserve">AB 32: Permanent Medi-Cal parity</t>
  </si>
  <si>
    <t xml:space="preserve">TOTAL POTENTIAL</t>
  </si>
  <si>
    <t xml:space="preserve">AS % OF CURRENT REVENUE</t>
  </si>
  <si>
    <t xml:space="preserve">Current Total</t>
  </si>
  <si>
    <t xml:space="preserve">Revenue Uplift %</t>
  </si>
  <si>
    <t xml:space="preserve">Revenue Transformation OKR Tracker</t>
  </si>
  <si>
    <t xml:space="preserve">Track key results quarterly — update status weekly</t>
  </si>
  <si>
    <t xml:space="preserve">Objective / Key Result</t>
  </si>
  <si>
    <t xml:space="preserve">Metric</t>
  </si>
  <si>
    <t xml:space="preserve">Baseline</t>
  </si>
  <si>
    <t xml:space="preserve">Target</t>
  </si>
  <si>
    <t xml:space="preserve">Current</t>
  </si>
  <si>
    <t xml:space="preserve">% Progress</t>
  </si>
  <si>
    <t xml:space="preserve">Status</t>
  </si>
  <si>
    <t xml:space="preserve">Owner / Notes</t>
  </si>
  <si>
    <t xml:space="preserve">OBJ 1: Launch 340B Pharmacy ($40K/mo by M6)</t>
  </si>
  <si>
    <t xml:space="preserve">  KR: Board of Pharmacy license obtained</t>
  </si>
  <si>
    <t xml:space="preserve">License status</t>
  </si>
  <si>
    <t xml:space="preserve">None</t>
  </si>
  <si>
    <t xml:space="preserve">Approved</t>
  </si>
  <si>
    <t xml:space="preserve">CFO</t>
  </si>
  <si>
    <t xml:space="preserve">  KR: HRSA OPA registration complete</t>
  </si>
  <si>
    <t xml:space="preserve">Registration</t>
  </si>
  <si>
    <t xml:space="preserve">Complete</t>
  </si>
  <si>
    <t xml:space="preserve">Pharmacy Dir</t>
  </si>
  <si>
    <t xml:space="preserve">  KR: 340B capture rate</t>
  </si>
  <si>
    <t xml:space="preserve">Capture %</t>
  </si>
  <si>
    <t xml:space="preserve">50%</t>
  </si>
  <si>
    <t xml:space="preserve">85%</t>
  </si>
  <si>
    <t xml:space="preserve">  KR: Net monthly pharmacy revenue</t>
  </si>
  <si>
    <t xml:space="preserve">$/month</t>
  </si>
  <si>
    <t xml:space="preserve">$0</t>
  </si>
  <si>
    <t xml:space="preserve">$40,000</t>
  </si>
  <si>
    <t xml:space="preserve">OBJ 2: Scale ECM to 200+ Members ($150K/qtr)</t>
  </si>
  <si>
    <t xml:space="preserve">  KR: Eligible patients identified via EHR</t>
  </si>
  <si>
    <t xml:space="preserve">Patient count</t>
  </si>
  <si>
    <t xml:space="preserve">0</t>
  </si>
  <si>
    <t xml:space="preserve">500</t>
  </si>
  <si>
    <t xml:space="preserve">CMO</t>
  </si>
  <si>
    <t xml:space="preserve">  KR: ECM members enrolled</t>
  </si>
  <si>
    <t xml:space="preserve">Members</t>
  </si>
  <si>
    <t xml:space="preserve">200</t>
  </si>
  <si>
    <t xml:space="preserve">ECM Lead</t>
  </si>
  <si>
    <t xml:space="preserve">  KR: 90-day retention rate</t>
  </si>
  <si>
    <t xml:space="preserve">Retention %</t>
  </si>
  <si>
    <t xml:space="preserve">0%</t>
  </si>
  <si>
    <t xml:space="preserve">70%</t>
  </si>
  <si>
    <t xml:space="preserve">  KR: Quarterly ECM revenue</t>
  </si>
  <si>
    <t xml:space="preserve">$/quarter</t>
  </si>
  <si>
    <t xml:space="preserve">$150,000</t>
  </si>
  <si>
    <t xml:space="preserve">OBJ 3: Increase Co-Visit Billing 50%</t>
  </si>
  <si>
    <t xml:space="preserve">  KR: Same-day BH visit volume (baseline audit)</t>
  </si>
  <si>
    <t xml:space="preserve">Visits/month</t>
  </si>
  <si>
    <t xml:space="preserve">BH Dir</t>
  </si>
  <si>
    <t xml:space="preserve">  KR: Medicare co-visit claims (modifier 59)</t>
  </si>
  <si>
    <t xml:space="preserve">Claims/month</t>
  </si>
  <si>
    <t xml:space="preserve">+50%</t>
  </si>
  <si>
    <t xml:space="preserve">Billing Mgr</t>
  </si>
  <si>
    <t xml:space="preserve">  KR: APM capitation analysis presented to board</t>
  </si>
  <si>
    <t xml:space="preserve">Not started</t>
  </si>
  <si>
    <t xml:space="preserve">OBJ 4: Deploy Revenue Cycle AI (95% clean claims)</t>
  </si>
  <si>
    <t xml:space="preserve">  KR: Current denial rate baselined</t>
  </si>
  <si>
    <t xml:space="preserve">Denial %</t>
  </si>
  <si>
    <t xml:space="preserve">RCM Lead</t>
  </si>
  <si>
    <t xml:space="preserve">  KR: AI RCM tool deployed</t>
  </si>
  <si>
    <t xml:space="preserve">Live</t>
  </si>
  <si>
    <t xml:space="preserve">CIO</t>
  </si>
  <si>
    <t xml:space="preserve">  KR: Clean claim rate</t>
  </si>
  <si>
    <t xml:space="preserve">Clean %</t>
  </si>
  <si>
    <t xml:space="preserve">95%</t>
  </si>
  <si>
    <t xml:space="preserve">  KR: Revenue recovered from under-coding</t>
  </si>
  <si>
    <t xml:space="preserve">$ recovered</t>
  </si>
  <si>
    <t xml:space="preserve">$100,000</t>
  </si>
  <si>
    <t xml:space="preserve">  KR: A/R days</t>
  </si>
  <si>
    <t xml:space="preserve">Days</t>
  </si>
  <si>
    <t xml:space="preserve">35</t>
  </si>
  <si>
    <t xml:space="preserve">Critical FQHC Policy Deadlines — 2026</t>
  </si>
  <si>
    <t xml:space="preserve">Date</t>
  </si>
  <si>
    <t xml:space="preserve">Policy Change</t>
  </si>
  <si>
    <t xml:space="preserve">Revenue Impact</t>
  </si>
  <si>
    <t xml:space="preserve">FQHCs Affected</t>
  </si>
  <si>
    <t xml:space="preserve">Preparation Required</t>
  </si>
  <si>
    <t xml:space="preserve">Jan 2026</t>
  </si>
  <si>
    <t xml:space="preserve">Medi-Cal enrollment freeze (undocumented 26-49yo)</t>
  </si>
  <si>
    <t xml:space="preserve">$77.9M state savings</t>
  </si>
  <si>
    <t xml:space="preserve">All with undocumented patients</t>
  </si>
  <si>
    <t xml:space="preserve">Model sliding fee revenue impact; prepare uninsured workflows</t>
  </si>
  <si>
    <t xml:space="preserve">MCO tax limits begin (H.R. 1)</t>
  </si>
  <si>
    <t xml:space="preserve">$7-8B federal matching at risk</t>
  </si>
  <si>
    <t xml:space="preserve">All CA FQHCs</t>
  </si>
  <si>
    <t xml:space="preserve">Monitor state budget response; model Medi-Cal rate scenarios</t>
  </si>
  <si>
    <t xml:space="preserve">CHW billing codes active (Medi-Cal)</t>
  </si>
  <si>
    <t xml:space="preserve">New revenue stream</t>
  </si>
  <si>
    <t xml:space="preserve">All with CHW staff</t>
  </si>
  <si>
    <t xml:space="preserve">Train CHWs on documentation; configure EHR billing codes</t>
  </si>
  <si>
    <t xml:space="preserve">July 2026</t>
  </si>
  <si>
    <t xml:space="preserve">Dental eliminated for undocumented patients</t>
  </si>
  <si>
    <t xml:space="preserve">$308M/year statewide</t>
  </si>
  <si>
    <t xml:space="preserve">FQHCs with dental programs</t>
  </si>
  <si>
    <t xml:space="preserve">Model dental revenue loss; diversify dental payer mix</t>
  </si>
  <si>
    <t xml:space="preserve">PPS rates eliminated for UIS patients</t>
  </si>
  <si>
    <t xml:space="preserve">$1B sector-wide impact</t>
  </si>
  <si>
    <t xml:space="preserve">FQHCs with 30%+ undocumented</t>
  </si>
  <si>
    <t xml:space="preserve">Revenue scenario modeling; accelerate 340B/ECM/DPC diversification</t>
  </si>
  <si>
    <t xml:space="preserve">Oct 2026</t>
  </si>
  <si>
    <t xml:space="preserve">Work requirements begin (Medi-Cal)</t>
  </si>
  <si>
    <t xml:space="preserve">25% coverage loss risk</t>
  </si>
  <si>
    <t xml:space="preserve">Patient outreach; enrollment assistance; document compliance workflows</t>
  </si>
  <si>
    <t xml:space="preserve">Dec 2026</t>
  </si>
  <si>
    <t xml:space="preserve">CalAIM 1115 waiver expires</t>
  </si>
  <si>
    <t xml:space="preserve">$1.2B (ECM + Community Supports)</t>
  </si>
  <si>
    <t xml:space="preserve">ECM/CS providers</t>
  </si>
  <si>
    <t xml:space="preserve">Lock in MCO contracts NOW; document outcomes; advocacy engagement</t>
  </si>
  <si>
    <t xml:space="preserve">2027</t>
  </si>
  <si>
    <t xml:space="preserve">$30/month undocumented premium</t>
  </si>
  <si>
    <t xml:space="preserve">15-25% additional coverage loss</t>
  </si>
  <si>
    <t xml:space="preserve">Financial counseling; sliding fee scale adjustment; fundraising</t>
  </si>
  <si>
    <t xml:space="preserve">SB 525: $25/hr healthcare minimum wage</t>
  </si>
  <si>
    <t xml:space="preserve">2-3x direct wage cost increase</t>
  </si>
  <si>
    <t xml:space="preserve">Wage gap analysis; compression modeling; revenue offset identification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</si>
</sst>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\+0.0%;\-0.0%;\-"/>
    <numFmt numFmtId="168" formatCode="\$#,##0"/>
    <numFmt numFmtId="169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Arial"/>
      <family val="0"/>
      <charset val="1"/>
    </font>
    <font>
      <sz val="11"/>
      <color rgb="FF64748B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2"/>
      <color rgb="FF0F76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64748B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sz val="10"/>
      <color rgb="FFEF4444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DE7"/>
        <bgColor rgb="FFFFFFFF"/>
      </patternFill>
    </fill>
    <fill>
      <patternFill patternType="solid">
        <fgColor rgb="FFF0FDFA"/>
        <bgColor rgb="FFFFFFFF"/>
      </patternFill>
    </fill>
    <fill>
      <patternFill patternType="solid">
        <fgColor rgb="FFEF444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DE7"/>
      <rgbColor rgb="FFF0FD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EF4444"/>
      <rgbColor rgb="FF64748B"/>
      <rgbColor rgb="FF94A3B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B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19.7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</row>
    <row r="5" customFormat="false" ht="15" hidden="false" customHeight="false" outlineLevel="0" collapsed="false">
      <c r="B5" s="4" t="s">
        <v>3</v>
      </c>
    </row>
    <row r="7" customFormat="false" ht="26.85" hidden="false" customHeight="false" outlineLevel="0" collapsed="false"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</row>
    <row r="8" customFormat="false" ht="15" hidden="false" customHeight="false" outlineLevel="0" collapsed="false">
      <c r="B8" s="6" t="s">
        <v>10</v>
      </c>
      <c r="C8" s="7"/>
      <c r="D8" s="8" t="n">
        <f aca="false">IF(C18=0,0,C8/C18)</f>
        <v>0</v>
      </c>
      <c r="E8" s="9" t="n">
        <v>0.65</v>
      </c>
      <c r="F8" s="10" t="n">
        <f aca="false">D8-E8</f>
        <v>-0.65</v>
      </c>
      <c r="G8" s="11"/>
    </row>
    <row r="9" customFormat="false" ht="15" hidden="false" customHeight="false" outlineLevel="0" collapsed="false">
      <c r="B9" s="6" t="s">
        <v>11</v>
      </c>
      <c r="C9" s="7"/>
      <c r="D9" s="8" t="n">
        <f aca="false">IF(C18=0,0,C9/C18)</f>
        <v>0</v>
      </c>
      <c r="E9" s="9" t="n">
        <v>0.12</v>
      </c>
      <c r="F9" s="10" t="n">
        <f aca="false">D9-E9</f>
        <v>-0.12</v>
      </c>
      <c r="G9" s="11"/>
    </row>
    <row r="10" customFormat="false" ht="15" hidden="false" customHeight="false" outlineLevel="0" collapsed="false">
      <c r="B10" s="6" t="s">
        <v>12</v>
      </c>
      <c r="C10" s="7"/>
      <c r="D10" s="8" t="n">
        <f aca="false">IF(C18=0,0,C10/C18)</f>
        <v>0</v>
      </c>
      <c r="E10" s="9" t="n">
        <v>0.1</v>
      </c>
      <c r="F10" s="10" t="n">
        <f aca="false">D10-E10</f>
        <v>-0.1</v>
      </c>
      <c r="G10" s="11"/>
    </row>
    <row r="11" customFormat="false" ht="15" hidden="false" customHeight="false" outlineLevel="0" collapsed="false">
      <c r="B11" s="6" t="s">
        <v>13</v>
      </c>
      <c r="C11" s="7"/>
      <c r="D11" s="8" t="n">
        <f aca="false">IF(C18=0,0,C11/C18)</f>
        <v>0</v>
      </c>
      <c r="E11" s="9" t="n">
        <v>0.05</v>
      </c>
      <c r="F11" s="10" t="n">
        <f aca="false">D11-E11</f>
        <v>-0.05</v>
      </c>
      <c r="G11" s="11"/>
    </row>
    <row r="12" customFormat="false" ht="15" hidden="false" customHeight="false" outlineLevel="0" collapsed="false">
      <c r="B12" s="6" t="s">
        <v>14</v>
      </c>
      <c r="C12" s="7"/>
      <c r="D12" s="8" t="n">
        <f aca="false">IF(C18=0,0,C12/C18)</f>
        <v>0</v>
      </c>
      <c r="E12" s="9" t="n">
        <v>0.03</v>
      </c>
      <c r="F12" s="10" t="n">
        <f aca="false">D12-E12</f>
        <v>-0.03</v>
      </c>
      <c r="G12" s="11"/>
    </row>
    <row r="13" customFormat="false" ht="15" hidden="false" customHeight="false" outlineLevel="0" collapsed="false">
      <c r="B13" s="6" t="s">
        <v>15</v>
      </c>
      <c r="C13" s="7"/>
      <c r="D13" s="8" t="n">
        <f aca="false">IF(C18=0,0,C13/C18)</f>
        <v>0</v>
      </c>
      <c r="E13" s="9" t="n">
        <v>0.04</v>
      </c>
      <c r="F13" s="10" t="n">
        <f aca="false">D13-E13</f>
        <v>-0.04</v>
      </c>
      <c r="G13" s="11"/>
    </row>
    <row r="14" customFormat="false" ht="15" hidden="false" customHeight="false" outlineLevel="0" collapsed="false">
      <c r="B14" s="6" t="s">
        <v>16</v>
      </c>
      <c r="C14" s="7"/>
      <c r="D14" s="8" t="n">
        <f aca="false">IF(C18=0,0,C14/C18)</f>
        <v>0</v>
      </c>
      <c r="E14" s="9" t="n">
        <v>0.02</v>
      </c>
      <c r="F14" s="10" t="n">
        <f aca="false">D14-E14</f>
        <v>-0.02</v>
      </c>
      <c r="G14" s="11"/>
    </row>
    <row r="15" customFormat="false" ht="15" hidden="false" customHeight="false" outlineLevel="0" collapsed="false">
      <c r="B15" s="6" t="s">
        <v>17</v>
      </c>
      <c r="C15" s="7"/>
      <c r="D15" s="8" t="n">
        <f aca="false">IF(C18=0,0,C15/C18)</f>
        <v>0</v>
      </c>
      <c r="E15" s="9" t="n">
        <v>0.005</v>
      </c>
      <c r="F15" s="10" t="n">
        <f aca="false">D15-E15</f>
        <v>-0.005</v>
      </c>
      <c r="G15" s="11"/>
    </row>
    <row r="16" customFormat="false" ht="15" hidden="false" customHeight="false" outlineLevel="0" collapsed="false">
      <c r="B16" s="6" t="s">
        <v>18</v>
      </c>
      <c r="C16" s="7"/>
      <c r="D16" s="8" t="n">
        <f aca="false">IF(C18=0,0,C16/C18)</f>
        <v>0</v>
      </c>
      <c r="E16" s="9" t="n">
        <v>0.02</v>
      </c>
      <c r="F16" s="10" t="n">
        <f aca="false">D16-E16</f>
        <v>-0.02</v>
      </c>
      <c r="G16" s="11"/>
    </row>
    <row r="17" customFormat="false" ht="15" hidden="false" customHeight="false" outlineLevel="0" collapsed="false">
      <c r="B17" s="6" t="s">
        <v>19</v>
      </c>
      <c r="C17" s="7"/>
      <c r="D17" s="8" t="n">
        <f aca="false">IF(C18=0,0,C17/C18)</f>
        <v>0</v>
      </c>
      <c r="E17" s="9" t="n">
        <v>0.015</v>
      </c>
      <c r="F17" s="10" t="n">
        <f aca="false">D17-E17</f>
        <v>-0.015</v>
      </c>
      <c r="G17" s="11"/>
    </row>
    <row r="18" customFormat="false" ht="15" hidden="false" customHeight="false" outlineLevel="0" collapsed="false">
      <c r="B18" s="12" t="s">
        <v>20</v>
      </c>
      <c r="C18" s="13" t="n">
        <f aca="false">SUM(C8:C17)</f>
        <v>0</v>
      </c>
      <c r="D18" s="14" t="n">
        <f aca="false">SUM(D8:D17)</f>
        <v>0</v>
      </c>
      <c r="E18" s="14" t="n">
        <f aca="false">SUM(E8:E17)</f>
        <v>1.05</v>
      </c>
    </row>
    <row r="20" customFormat="false" ht="15" hidden="false" customHeight="false" outlineLevel="0" collapsed="false">
      <c r="B20" s="4" t="s">
        <v>21</v>
      </c>
    </row>
    <row r="22" customFormat="false" ht="15" hidden="false" customHeight="false" outlineLevel="0" collapsed="false">
      <c r="B22" s="6" t="s">
        <v>22</v>
      </c>
      <c r="C22" s="8" t="n">
        <f aca="false">IF(C18=0,0,(C8+C10)/C18)</f>
        <v>0</v>
      </c>
      <c r="D22" s="15" t="s">
        <v>23</v>
      </c>
    </row>
    <row r="23" customFormat="false" ht="15" hidden="false" customHeight="false" outlineLevel="0" collapsed="false">
      <c r="B23" s="6" t="s">
        <v>24</v>
      </c>
      <c r="C23" s="8" t="n">
        <f aca="false">IF(C18=0,0,(C8+C9)/C18)</f>
        <v>0</v>
      </c>
      <c r="D23" s="15" t="s">
        <v>25</v>
      </c>
    </row>
    <row r="24" customFormat="false" ht="15" hidden="false" customHeight="false" outlineLevel="0" collapsed="false">
      <c r="B24" s="6" t="s">
        <v>26</v>
      </c>
      <c r="C24" s="8" t="n">
        <f aca="false">IF(C18=0,0,(C11+C14+C15+C16+C17)/C18)</f>
        <v>0</v>
      </c>
      <c r="D24" s="15" t="s">
        <v>27</v>
      </c>
    </row>
    <row r="25" customFormat="false" ht="15" hidden="false" customHeight="false" outlineLevel="0" collapsed="false">
      <c r="B25" s="6" t="s">
        <v>28</v>
      </c>
      <c r="C25" s="16" t="n">
        <f aca="false">COUNTIF(C8:C17,"&gt;0")</f>
        <v>0</v>
      </c>
      <c r="D25" s="15" t="s">
        <v>29</v>
      </c>
    </row>
    <row r="26" customFormat="false" ht="15" hidden="false" customHeight="false" outlineLevel="0" collapsed="false">
      <c r="B26" s="6" t="s">
        <v>30</v>
      </c>
      <c r="C26" s="17"/>
      <c r="D26" s="15" t="s">
        <v>31</v>
      </c>
    </row>
    <row r="27" customFormat="false" ht="15" hidden="false" customHeight="false" outlineLevel="0" collapsed="false">
      <c r="B27" s="6" t="s">
        <v>32</v>
      </c>
      <c r="C27" s="17"/>
      <c r="D27" s="15" t="s">
        <v>33</v>
      </c>
    </row>
    <row r="29" customFormat="false" ht="15" hidden="false" customHeight="false" outlineLevel="0" collapsed="false">
      <c r="B29" s="4" t="s">
        <v>34</v>
      </c>
      <c r="C29" s="18" t="str">
        <f aca="false">IF(C25&lt;4,"HIGH RISK",IF(C22&gt;0.8,"HIGH RISK",IF(C24&lt;0.1,"MODERATE RISK","DIVERSIFIED")))</f>
        <v>HIGH RISK</v>
      </c>
    </row>
  </sheetData>
  <mergeCells count="3">
    <mergeCell ref="B1:F1"/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2"/>
  </cols>
  <sheetData>
    <row r="1" customFormat="false" ht="19.7" hidden="false" customHeight="false" outlineLevel="0" collapsed="false">
      <c r="B1" s="1" t="s">
        <v>35</v>
      </c>
      <c r="C1" s="1"/>
      <c r="D1" s="1"/>
      <c r="E1" s="1"/>
      <c r="F1" s="1"/>
      <c r="G1" s="1"/>
    </row>
    <row r="2" customFormat="false" ht="15" hidden="false" customHeight="false" outlineLevel="0" collapsed="false">
      <c r="B2" s="2" t="s">
        <v>36</v>
      </c>
      <c r="C2" s="2"/>
      <c r="D2" s="2"/>
      <c r="E2" s="2"/>
      <c r="F2" s="2"/>
      <c r="G2" s="2"/>
    </row>
    <row r="4" customFormat="false" ht="26.85" hidden="false" customHeight="false" outlineLevel="0" collapsed="false"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</row>
    <row r="5" customFormat="false" ht="15" hidden="false" customHeight="false" outlineLevel="0" collapsed="false">
      <c r="B5" s="6" t="s">
        <v>44</v>
      </c>
      <c r="C5" s="19" t="n">
        <v>480000</v>
      </c>
      <c r="D5" s="19" t="n">
        <v>75000</v>
      </c>
      <c r="E5" s="20" t="n">
        <v>6</v>
      </c>
      <c r="F5" s="21" t="s">
        <v>45</v>
      </c>
      <c r="G5" s="22" t="n">
        <f aca="false">C5-D5</f>
        <v>405000</v>
      </c>
      <c r="H5" s="23" t="s">
        <v>46</v>
      </c>
    </row>
    <row r="6" customFormat="false" ht="15" hidden="false" customHeight="false" outlineLevel="0" collapsed="false">
      <c r="B6" s="6" t="s">
        <v>47</v>
      </c>
      <c r="C6" s="19" t="n">
        <v>660000</v>
      </c>
      <c r="D6" s="19" t="n">
        <v>25000</v>
      </c>
      <c r="E6" s="20" t="n">
        <v>3</v>
      </c>
      <c r="F6" s="21" t="s">
        <v>48</v>
      </c>
      <c r="G6" s="22" t="n">
        <f aca="false">C6-D6</f>
        <v>635000</v>
      </c>
      <c r="H6" s="23" t="s">
        <v>49</v>
      </c>
    </row>
    <row r="7" customFormat="false" ht="15" hidden="false" customHeight="false" outlineLevel="0" collapsed="false">
      <c r="B7" s="6" t="s">
        <v>50</v>
      </c>
      <c r="C7" s="19" t="n">
        <v>150000</v>
      </c>
      <c r="D7" s="19" t="n">
        <v>5000</v>
      </c>
      <c r="E7" s="20" t="n">
        <v>1</v>
      </c>
      <c r="F7" s="21" t="s">
        <v>51</v>
      </c>
      <c r="G7" s="22" t="n">
        <f aca="false">C7-D7</f>
        <v>145000</v>
      </c>
      <c r="H7" s="23" t="s">
        <v>52</v>
      </c>
    </row>
    <row r="8" customFormat="false" ht="15" hidden="false" customHeight="false" outlineLevel="0" collapsed="false">
      <c r="B8" s="6" t="s">
        <v>53</v>
      </c>
      <c r="C8" s="19" t="n">
        <v>300000</v>
      </c>
      <c r="D8" s="19" t="n">
        <v>15000</v>
      </c>
      <c r="E8" s="20" t="n">
        <v>6</v>
      </c>
      <c r="F8" s="21" t="s">
        <v>48</v>
      </c>
      <c r="G8" s="22" t="n">
        <f aca="false">C8-D8</f>
        <v>285000</v>
      </c>
      <c r="H8" s="23" t="s">
        <v>54</v>
      </c>
    </row>
    <row r="9" customFormat="false" ht="15" hidden="false" customHeight="false" outlineLevel="0" collapsed="false">
      <c r="B9" s="6" t="s">
        <v>55</v>
      </c>
      <c r="C9" s="19" t="n">
        <v>200000</v>
      </c>
      <c r="D9" s="19" t="n">
        <v>30000</v>
      </c>
      <c r="E9" s="20" t="n">
        <v>3</v>
      </c>
      <c r="F9" s="21" t="s">
        <v>48</v>
      </c>
      <c r="G9" s="22" t="n">
        <f aca="false">C9-D9</f>
        <v>170000</v>
      </c>
      <c r="H9" s="23" t="s">
        <v>56</v>
      </c>
    </row>
    <row r="10" customFormat="false" ht="15" hidden="false" customHeight="false" outlineLevel="0" collapsed="false">
      <c r="B10" s="6" t="s">
        <v>57</v>
      </c>
      <c r="C10" s="19" t="n">
        <v>500000</v>
      </c>
      <c r="D10" s="19" t="n">
        <v>150000</v>
      </c>
      <c r="E10" s="20" t="n">
        <v>12</v>
      </c>
      <c r="F10" s="21" t="s">
        <v>45</v>
      </c>
      <c r="G10" s="22" t="n">
        <f aca="false">C10-D10</f>
        <v>350000</v>
      </c>
      <c r="H10" s="23" t="s">
        <v>58</v>
      </c>
    </row>
    <row r="11" customFormat="false" ht="15" hidden="false" customHeight="false" outlineLevel="0" collapsed="false">
      <c r="B11" s="6" t="s">
        <v>59</v>
      </c>
      <c r="C11" s="19" t="n">
        <v>120000</v>
      </c>
      <c r="D11" s="19" t="n">
        <v>10000</v>
      </c>
      <c r="E11" s="20" t="n">
        <v>2</v>
      </c>
      <c r="F11" s="21" t="s">
        <v>51</v>
      </c>
      <c r="G11" s="22" t="n">
        <f aca="false">C11-D11</f>
        <v>110000</v>
      </c>
      <c r="H11" s="23" t="s">
        <v>60</v>
      </c>
    </row>
    <row r="12" customFormat="false" ht="15" hidden="false" customHeight="false" outlineLevel="0" collapsed="false">
      <c r="B12" s="6" t="s">
        <v>61</v>
      </c>
      <c r="C12" s="19" t="n">
        <v>180000</v>
      </c>
      <c r="D12" s="19" t="n">
        <v>20000</v>
      </c>
      <c r="E12" s="20" t="n">
        <v>3</v>
      </c>
      <c r="F12" s="21" t="s">
        <v>51</v>
      </c>
      <c r="G12" s="22" t="n">
        <f aca="false">C12-D12</f>
        <v>160000</v>
      </c>
      <c r="H12" s="23" t="s">
        <v>62</v>
      </c>
    </row>
    <row r="13" customFormat="false" ht="15" hidden="false" customHeight="false" outlineLevel="0" collapsed="false">
      <c r="B13" s="12" t="s">
        <v>63</v>
      </c>
      <c r="C13" s="13" t="n">
        <f aca="false">SUM(C5:C12)</f>
        <v>2590000</v>
      </c>
      <c r="D13" s="13" t="n">
        <f aca="false">SUM(D5:D12)</f>
        <v>330000</v>
      </c>
      <c r="G13" s="13" t="n">
        <f aca="false">SUM(G5:G12)</f>
        <v>2260000</v>
      </c>
    </row>
    <row r="15" customFormat="false" ht="15" hidden="false" customHeight="false" outlineLevel="0" collapsed="false">
      <c r="B15" s="24" t="s">
        <v>64</v>
      </c>
      <c r="C15" s="25" t="n">
        <f aca="false">'Revenue Assessment'!C18</f>
        <v>0</v>
      </c>
      <c r="D15" s="15" t="s">
        <v>65</v>
      </c>
    </row>
    <row r="16" customFormat="false" ht="15" hidden="false" customHeight="false" outlineLevel="0" collapsed="false">
      <c r="B16" s="24" t="s">
        <v>66</v>
      </c>
      <c r="C16" s="26" t="n">
        <f aca="false">IF(C15=0,0,G13/C15)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B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19.7" hidden="false" customHeight="false" outlineLevel="0" collapsed="false">
      <c r="B1" s="1" t="s">
        <v>67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68</v>
      </c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76</v>
      </c>
    </row>
    <row r="5" customFormat="false" ht="15" hidden="false" customHeight="false" outlineLevel="0" collapsed="false">
      <c r="B5" s="27" t="s">
        <v>77</v>
      </c>
      <c r="C5" s="28"/>
      <c r="D5" s="28"/>
      <c r="E5" s="28"/>
      <c r="F5" s="28"/>
      <c r="G5" s="28"/>
      <c r="H5" s="28"/>
      <c r="I5" s="28"/>
    </row>
    <row r="6" customFormat="false" ht="15" hidden="false" customHeight="false" outlineLevel="0" collapsed="false">
      <c r="B6" s="29" t="s">
        <v>78</v>
      </c>
      <c r="C6" s="30" t="s">
        <v>79</v>
      </c>
      <c r="D6" s="31" t="s">
        <v>80</v>
      </c>
      <c r="E6" s="31" t="s">
        <v>81</v>
      </c>
      <c r="F6" s="31"/>
      <c r="G6" s="32"/>
      <c r="H6" s="31"/>
      <c r="I6" s="30" t="s">
        <v>82</v>
      </c>
    </row>
    <row r="7" customFormat="false" ht="15" hidden="false" customHeight="false" outlineLevel="0" collapsed="false">
      <c r="B7" s="29" t="s">
        <v>83</v>
      </c>
      <c r="C7" s="30" t="s">
        <v>84</v>
      </c>
      <c r="D7" s="31" t="s">
        <v>80</v>
      </c>
      <c r="E7" s="31" t="s">
        <v>85</v>
      </c>
      <c r="F7" s="31"/>
      <c r="G7" s="32"/>
      <c r="H7" s="31"/>
      <c r="I7" s="30" t="s">
        <v>86</v>
      </c>
    </row>
    <row r="8" customFormat="false" ht="15" hidden="false" customHeight="false" outlineLevel="0" collapsed="false">
      <c r="B8" s="29" t="s">
        <v>87</v>
      </c>
      <c r="C8" s="30" t="s">
        <v>88</v>
      </c>
      <c r="D8" s="31" t="s">
        <v>89</v>
      </c>
      <c r="E8" s="31" t="s">
        <v>90</v>
      </c>
      <c r="F8" s="31"/>
      <c r="G8" s="32"/>
      <c r="H8" s="31"/>
      <c r="I8" s="30" t="s">
        <v>86</v>
      </c>
    </row>
    <row r="9" customFormat="false" ht="15" hidden="false" customHeight="false" outlineLevel="0" collapsed="false">
      <c r="B9" s="29" t="s">
        <v>91</v>
      </c>
      <c r="C9" s="30" t="s">
        <v>92</v>
      </c>
      <c r="D9" s="31" t="s">
        <v>93</v>
      </c>
      <c r="E9" s="31" t="s">
        <v>94</v>
      </c>
      <c r="F9" s="31"/>
      <c r="G9" s="32"/>
      <c r="H9" s="31"/>
      <c r="I9" s="30" t="s">
        <v>82</v>
      </c>
    </row>
    <row r="11" customFormat="false" ht="15" hidden="false" customHeight="false" outlineLevel="0" collapsed="false">
      <c r="B11" s="27" t="s">
        <v>95</v>
      </c>
      <c r="C11" s="28"/>
      <c r="D11" s="28"/>
      <c r="E11" s="28"/>
      <c r="F11" s="28"/>
      <c r="G11" s="28"/>
      <c r="H11" s="28"/>
      <c r="I11" s="28"/>
    </row>
    <row r="12" customFormat="false" ht="15" hidden="false" customHeight="false" outlineLevel="0" collapsed="false">
      <c r="B12" s="29" t="s">
        <v>96</v>
      </c>
      <c r="C12" s="30" t="s">
        <v>97</v>
      </c>
      <c r="D12" s="31" t="s">
        <v>98</v>
      </c>
      <c r="E12" s="31" t="s">
        <v>99</v>
      </c>
      <c r="F12" s="31"/>
      <c r="G12" s="32"/>
      <c r="H12" s="31"/>
      <c r="I12" s="30" t="s">
        <v>100</v>
      </c>
    </row>
    <row r="13" customFormat="false" ht="15" hidden="false" customHeight="false" outlineLevel="0" collapsed="false">
      <c r="B13" s="29" t="s">
        <v>101</v>
      </c>
      <c r="C13" s="30" t="s">
        <v>102</v>
      </c>
      <c r="D13" s="31" t="s">
        <v>98</v>
      </c>
      <c r="E13" s="31" t="s">
        <v>103</v>
      </c>
      <c r="F13" s="31"/>
      <c r="G13" s="32"/>
      <c r="H13" s="31"/>
      <c r="I13" s="30" t="s">
        <v>104</v>
      </c>
    </row>
    <row r="14" customFormat="false" ht="15" hidden="false" customHeight="false" outlineLevel="0" collapsed="false">
      <c r="B14" s="29" t="s">
        <v>105</v>
      </c>
      <c r="C14" s="30" t="s">
        <v>106</v>
      </c>
      <c r="D14" s="31" t="s">
        <v>107</v>
      </c>
      <c r="E14" s="31" t="s">
        <v>108</v>
      </c>
      <c r="F14" s="31"/>
      <c r="G14" s="32"/>
      <c r="H14" s="31"/>
      <c r="I14" s="30" t="s">
        <v>104</v>
      </c>
    </row>
    <row r="15" customFormat="false" ht="15" hidden="false" customHeight="false" outlineLevel="0" collapsed="false">
      <c r="B15" s="29" t="s">
        <v>109</v>
      </c>
      <c r="C15" s="30" t="s">
        <v>110</v>
      </c>
      <c r="D15" s="31" t="s">
        <v>93</v>
      </c>
      <c r="E15" s="31" t="s">
        <v>111</v>
      </c>
      <c r="F15" s="31"/>
      <c r="G15" s="32"/>
      <c r="H15" s="31"/>
      <c r="I15" s="30" t="s">
        <v>82</v>
      </c>
    </row>
    <row r="17" customFormat="false" ht="15" hidden="false" customHeight="false" outlineLevel="0" collapsed="false">
      <c r="B17" s="27" t="s">
        <v>112</v>
      </c>
      <c r="C17" s="28"/>
      <c r="D17" s="28"/>
      <c r="E17" s="28"/>
      <c r="F17" s="28"/>
      <c r="G17" s="28"/>
      <c r="H17" s="28"/>
      <c r="I17" s="28"/>
    </row>
    <row r="18" customFormat="false" ht="15" hidden="false" customHeight="false" outlineLevel="0" collapsed="false">
      <c r="B18" s="29" t="s">
        <v>113</v>
      </c>
      <c r="C18" s="30" t="s">
        <v>114</v>
      </c>
      <c r="D18" s="31"/>
      <c r="E18" s="31"/>
      <c r="F18" s="31"/>
      <c r="G18" s="32"/>
      <c r="H18" s="31"/>
      <c r="I18" s="30" t="s">
        <v>115</v>
      </c>
    </row>
    <row r="19" customFormat="false" ht="15" hidden="false" customHeight="false" outlineLevel="0" collapsed="false">
      <c r="B19" s="29" t="s">
        <v>116</v>
      </c>
      <c r="C19" s="30" t="s">
        <v>117</v>
      </c>
      <c r="D19" s="31"/>
      <c r="E19" s="31" t="s">
        <v>118</v>
      </c>
      <c r="F19" s="31"/>
      <c r="G19" s="32"/>
      <c r="H19" s="31"/>
      <c r="I19" s="30" t="s">
        <v>119</v>
      </c>
    </row>
    <row r="20" customFormat="false" ht="15" hidden="false" customHeight="false" outlineLevel="0" collapsed="false">
      <c r="B20" s="29" t="s">
        <v>120</v>
      </c>
      <c r="C20" s="30" t="s">
        <v>75</v>
      </c>
      <c r="D20" s="31" t="s">
        <v>121</v>
      </c>
      <c r="E20" s="31" t="s">
        <v>85</v>
      </c>
      <c r="F20" s="31"/>
      <c r="G20" s="32"/>
      <c r="H20" s="31"/>
      <c r="I20" s="30" t="s">
        <v>82</v>
      </c>
    </row>
    <row r="22" customFormat="false" ht="15" hidden="false" customHeight="false" outlineLevel="0" collapsed="false">
      <c r="B22" s="27" t="s">
        <v>122</v>
      </c>
      <c r="C22" s="28"/>
      <c r="D22" s="28"/>
      <c r="E22" s="28"/>
      <c r="F22" s="28"/>
      <c r="G22" s="28"/>
      <c r="H22" s="28"/>
      <c r="I22" s="28"/>
    </row>
    <row r="23" customFormat="false" ht="15" hidden="false" customHeight="false" outlineLevel="0" collapsed="false">
      <c r="B23" s="29" t="s">
        <v>123</v>
      </c>
      <c r="C23" s="30" t="s">
        <v>124</v>
      </c>
      <c r="D23" s="31"/>
      <c r="E23" s="31"/>
      <c r="F23" s="31"/>
      <c r="G23" s="32"/>
      <c r="H23" s="31"/>
      <c r="I23" s="30" t="s">
        <v>125</v>
      </c>
    </row>
    <row r="24" customFormat="false" ht="15" hidden="false" customHeight="false" outlineLevel="0" collapsed="false">
      <c r="B24" s="29" t="s">
        <v>126</v>
      </c>
      <c r="C24" s="30" t="s">
        <v>75</v>
      </c>
      <c r="D24" s="31" t="s">
        <v>121</v>
      </c>
      <c r="E24" s="31" t="s">
        <v>127</v>
      </c>
      <c r="F24" s="31"/>
      <c r="G24" s="32"/>
      <c r="H24" s="31"/>
      <c r="I24" s="30" t="s">
        <v>128</v>
      </c>
    </row>
    <row r="25" customFormat="false" ht="15" hidden="false" customHeight="false" outlineLevel="0" collapsed="false">
      <c r="B25" s="29" t="s">
        <v>129</v>
      </c>
      <c r="C25" s="30" t="s">
        <v>130</v>
      </c>
      <c r="D25" s="31"/>
      <c r="E25" s="31" t="s">
        <v>131</v>
      </c>
      <c r="F25" s="31"/>
      <c r="G25" s="32"/>
      <c r="H25" s="31"/>
      <c r="I25" s="30" t="s">
        <v>125</v>
      </c>
    </row>
    <row r="26" customFormat="false" ht="15" hidden="false" customHeight="false" outlineLevel="0" collapsed="false">
      <c r="B26" s="29" t="s">
        <v>132</v>
      </c>
      <c r="C26" s="30" t="s">
        <v>133</v>
      </c>
      <c r="D26" s="31" t="s">
        <v>93</v>
      </c>
      <c r="E26" s="31" t="s">
        <v>134</v>
      </c>
      <c r="F26" s="31"/>
      <c r="G26" s="32"/>
      <c r="H26" s="31"/>
      <c r="I26" s="30" t="s">
        <v>82</v>
      </c>
    </row>
    <row r="27" customFormat="false" ht="15" hidden="false" customHeight="false" outlineLevel="0" collapsed="false">
      <c r="B27" s="29" t="s">
        <v>135</v>
      </c>
      <c r="C27" s="30" t="s">
        <v>136</v>
      </c>
      <c r="D27" s="31"/>
      <c r="E27" s="31" t="s">
        <v>137</v>
      </c>
      <c r="F27" s="31"/>
      <c r="G27" s="32"/>
      <c r="H27" s="31"/>
      <c r="I27" s="30" t="s">
        <v>125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B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36"/>
  </cols>
  <sheetData>
    <row r="1" customFormat="false" ht="19.7" hidden="false" customHeight="false" outlineLevel="0" collapsed="false">
      <c r="B1" s="1" t="s">
        <v>138</v>
      </c>
      <c r="C1" s="1"/>
      <c r="D1" s="1"/>
      <c r="E1" s="1"/>
      <c r="F1" s="1"/>
    </row>
    <row r="3" customFormat="false" ht="15" hidden="false" customHeight="false" outlineLevel="0" collapsed="false">
      <c r="B3" s="33" t="s">
        <v>139</v>
      </c>
      <c r="C3" s="33" t="s">
        <v>140</v>
      </c>
      <c r="D3" s="33" t="s">
        <v>141</v>
      </c>
      <c r="E3" s="33" t="s">
        <v>142</v>
      </c>
      <c r="F3" s="33" t="s">
        <v>143</v>
      </c>
    </row>
    <row r="4" customFormat="false" ht="23.85" hidden="false" customHeight="false" outlineLevel="0" collapsed="false">
      <c r="B4" s="34" t="s">
        <v>144</v>
      </c>
      <c r="C4" s="35" t="s">
        <v>145</v>
      </c>
      <c r="D4" s="36" t="s">
        <v>146</v>
      </c>
      <c r="E4" s="37" t="s">
        <v>147</v>
      </c>
      <c r="F4" s="37" t="s">
        <v>148</v>
      </c>
    </row>
    <row r="5" customFormat="false" ht="23.85" hidden="false" customHeight="false" outlineLevel="0" collapsed="false">
      <c r="B5" s="34" t="s">
        <v>144</v>
      </c>
      <c r="C5" s="35" t="s">
        <v>149</v>
      </c>
      <c r="D5" s="36" t="s">
        <v>150</v>
      </c>
      <c r="E5" s="37" t="s">
        <v>151</v>
      </c>
      <c r="F5" s="37" t="s">
        <v>152</v>
      </c>
    </row>
    <row r="6" customFormat="false" ht="22.35" hidden="false" customHeight="false" outlineLevel="0" collapsed="false">
      <c r="B6" s="34" t="s">
        <v>144</v>
      </c>
      <c r="C6" s="35" t="s">
        <v>153</v>
      </c>
      <c r="D6" s="36" t="s">
        <v>154</v>
      </c>
      <c r="E6" s="37" t="s">
        <v>155</v>
      </c>
      <c r="F6" s="37" t="s">
        <v>156</v>
      </c>
    </row>
    <row r="7" customFormat="false" ht="23.85" hidden="false" customHeight="false" outlineLevel="0" collapsed="false">
      <c r="B7" s="34" t="s">
        <v>157</v>
      </c>
      <c r="C7" s="35" t="s">
        <v>158</v>
      </c>
      <c r="D7" s="36" t="s">
        <v>159</v>
      </c>
      <c r="E7" s="37" t="s">
        <v>160</v>
      </c>
      <c r="F7" s="37" t="s">
        <v>161</v>
      </c>
    </row>
    <row r="8" customFormat="false" ht="22.35" hidden="false" customHeight="false" outlineLevel="0" collapsed="false">
      <c r="B8" s="34" t="s">
        <v>157</v>
      </c>
      <c r="C8" s="35" t="s">
        <v>162</v>
      </c>
      <c r="D8" s="36" t="s">
        <v>163</v>
      </c>
      <c r="E8" s="37" t="s">
        <v>164</v>
      </c>
      <c r="F8" s="37" t="s">
        <v>165</v>
      </c>
    </row>
    <row r="9" customFormat="false" ht="22.35" hidden="false" customHeight="false" outlineLevel="0" collapsed="false">
      <c r="B9" s="34" t="s">
        <v>166</v>
      </c>
      <c r="C9" s="35" t="s">
        <v>167</v>
      </c>
      <c r="D9" s="36" t="s">
        <v>168</v>
      </c>
      <c r="E9" s="37" t="s">
        <v>151</v>
      </c>
      <c r="F9" s="37" t="s">
        <v>169</v>
      </c>
    </row>
    <row r="10" customFormat="false" ht="23.85" hidden="false" customHeight="false" outlineLevel="0" collapsed="false">
      <c r="B10" s="34" t="s">
        <v>170</v>
      </c>
      <c r="C10" s="35" t="s">
        <v>171</v>
      </c>
      <c r="D10" s="36" t="s">
        <v>172</v>
      </c>
      <c r="E10" s="37" t="s">
        <v>173</v>
      </c>
      <c r="F10" s="37" t="s">
        <v>174</v>
      </c>
    </row>
    <row r="11" customFormat="false" ht="23.85" hidden="false" customHeight="false" outlineLevel="0" collapsed="false">
      <c r="B11" s="34" t="s">
        <v>175</v>
      </c>
      <c r="C11" s="35" t="s">
        <v>176</v>
      </c>
      <c r="D11" s="36" t="s">
        <v>177</v>
      </c>
      <c r="E11" s="37" t="s">
        <v>147</v>
      </c>
      <c r="F11" s="37" t="s">
        <v>178</v>
      </c>
    </row>
    <row r="12" customFormat="false" ht="23.85" hidden="false" customHeight="false" outlineLevel="0" collapsed="false">
      <c r="B12" s="34" t="s">
        <v>175</v>
      </c>
      <c r="C12" s="35" t="s">
        <v>179</v>
      </c>
      <c r="D12" s="36" t="s">
        <v>180</v>
      </c>
      <c r="E12" s="37" t="s">
        <v>151</v>
      </c>
      <c r="F12" s="37" t="s">
        <v>181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2026-03-11T04:44:13Z</dcterms:created>
  <dc:creator>openpyxl</dc:creator>
  <dc:description/>
  <dc:language>en-US</dc:language>
  <cp:lastModifiedBy/>
  <dcterms:modified xsi:type="dcterms:W3CDTF">2026-03-11T04:44:13Z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